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enue Quality" sheetId="1" state="visible" r:id="rId1"/>
    <sheet xmlns:r="http://schemas.openxmlformats.org/officeDocument/2006/relationships" name="Cash Economics" sheetId="2" state="visible" r:id="rId2"/>
    <sheet xmlns:r="http://schemas.openxmlformats.org/officeDocument/2006/relationships" name="Valuation Context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0.0%"/>
    <numFmt numFmtId="165" formatCode="\$0.00"/>
    <numFmt numFmtId="166" formatCode="#,##0.0"/>
    <numFmt numFmtId="167" formatCode="0.0\x"/>
    <numFmt numFmtId="168" formatCode="0.0x"/>
    <numFmt numFmtId="169" formatCode="$0.00"/>
    <numFmt numFmtId="170" formatCode="0.0&quot;x&quot;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sz val="10"/>
    </font>
    <font>
      <name val="Arial"/>
      <color rgb="00000000"/>
      <sz val="10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1"/>
    </font>
    <font>
      <name val="Arial"/>
      <color rgb="0000800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203764"/>
        <bgColor rgb="FF333333"/>
      </patternFill>
    </fill>
    <fill>
      <patternFill patternType="solid">
        <fgColor rgb="00365692"/>
        <bgColor rgb="003656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3" fontId="8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167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3" fontId="8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0" fontId="11" fillId="0" borderId="0" pivotButton="0" quotePrefix="0" xfId="0"/>
    <xf numFmtId="0" fontId="12" fillId="0" borderId="0" pivotButton="0" quotePrefix="0" xfId="0"/>
    <xf numFmtId="0" fontId="11" fillId="0" borderId="0" applyAlignment="1" pivotButton="0" quotePrefix="0" xfId="0">
      <alignment horizontal="general" vertical="bottom"/>
    </xf>
    <xf numFmtId="166" fontId="12" fillId="0" borderId="0" applyAlignment="1" pivotButton="0" quotePrefix="0" xfId="0">
      <alignment horizontal="general" vertical="bottom"/>
    </xf>
    <xf numFmtId="168" fontId="10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0" fontId="13" fillId="4" borderId="0" pivotButton="0" quotePrefix="0" xfId="0"/>
    <xf numFmtId="169" fontId="12" fillId="0" borderId="0" pivotButton="0" quotePrefix="0" xfId="0"/>
    <xf numFmtId="3" fontId="12" fillId="0" borderId="0" pivotButton="0" quotePrefix="0" xfId="0"/>
    <xf numFmtId="3" fontId="10" fillId="0" borderId="0" pivotButton="0" quotePrefix="0" xfId="0"/>
    <xf numFmtId="170" fontId="10" fillId="0" borderId="0" pivotButton="0" quotePrefix="0" xfId="0"/>
    <xf numFmtId="170" fontId="14" fillId="0" borderId="0" pivotButton="0" quotePrefix="0" xfId="0"/>
    <xf numFmtId="164" fontId="14" fillId="0" borderId="0" pivotButton="0" quotePrefix="0" xfId="0"/>
    <xf numFmtId="4" fontId="12" fillId="0" borderId="0" pivotButton="0" quotePrefix="0" xfId="0"/>
    <xf numFmtId="0" fontId="15" fillId="0" borderId="0" pivotButton="0" quotePrefix="0" xfId="0"/>
    <xf numFmtId="164" fontId="1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2037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14" min="1" max="1"/>
    <col width="15" customWidth="1" style="14" min="2" max="4"/>
    <col width="10" customWidth="1" style="14" min="5" max="5"/>
    <col width="60" customWidth="1" style="14" min="6" max="6"/>
  </cols>
  <sheetData>
    <row r="1" ht="15.75" customHeight="1" s="15">
      <c r="A1" s="16" t="inlineStr">
        <is>
          <t>COCA-COLA (KO) - REVENUE QUALITY ANALYSIS FY2022-FY2024</t>
        </is>
      </c>
    </row>
    <row r="3" ht="26.25" customHeight="1" s="15">
      <c r="A3" s="17" t="inlineStr">
        <is>
          <t>Line Item</t>
        </is>
      </c>
      <c r="B3" s="17" t="inlineStr">
        <is>
          <t>FY2022</t>
        </is>
      </c>
      <c r="C3" s="17" t="inlineStr">
        <is>
          <t>FY2023</t>
        </is>
      </c>
      <c r="D3" s="17" t="inlineStr">
        <is>
          <t>FY2024</t>
        </is>
      </c>
      <c r="E3" s="17" t="inlineStr">
        <is>
          <t>CAGR
22-24</t>
        </is>
      </c>
      <c r="F3" s="17" t="inlineStr">
        <is>
          <t>Source</t>
        </is>
      </c>
    </row>
    <row r="4" ht="15" customHeight="1" s="15">
      <c r="A4" s="18" t="inlineStr">
        <is>
          <t>Total Net Revenues ($mm)</t>
        </is>
      </c>
      <c r="B4" s="19" t="n">
        <v>43004</v>
      </c>
      <c r="C4" s="19" t="n">
        <v>45754</v>
      </c>
      <c r="D4" s="19" t="n">
        <v>47059</v>
      </c>
      <c r="E4" s="20">
        <f>(D4/B4)^(1/2)-1</f>
        <v/>
      </c>
      <c r="F4" s="14" t="inlineStr">
        <is>
          <t>10-K FYE 2024-12-31, Filed 2025-02-20, Consolidated Statements of Income, p.63</t>
        </is>
      </c>
    </row>
    <row r="5" ht="15" customHeight="1" s="15">
      <c r="A5" s="18" t="inlineStr">
        <is>
          <t xml:space="preserve">  Concentrate Operations ($mm)</t>
        </is>
      </c>
      <c r="B5" s="19" t="n">
        <v>25500</v>
      </c>
      <c r="C5" s="19" t="n">
        <v>26900</v>
      </c>
      <c r="D5" s="19" t="n">
        <v>27700</v>
      </c>
      <c r="E5" s="20">
        <f>(D5/B5)^(1/2)-1</f>
        <v/>
      </c>
      <c r="F5" s="14" t="inlineStr">
        <is>
          <t>10-K FYE 2024-12-31, Filed 2025-02-20, Note 20 Segment Info, p.114</t>
        </is>
      </c>
    </row>
    <row r="6" ht="15" customHeight="1" s="15">
      <c r="A6" s="18" t="inlineStr">
        <is>
          <t xml:space="preserve">  Finished Product Operations ($mm)</t>
        </is>
      </c>
      <c r="B6" s="19" t="n">
        <v>17504</v>
      </c>
      <c r="C6" s="19" t="n">
        <v>18854</v>
      </c>
      <c r="D6" s="19" t="n">
        <v>19359</v>
      </c>
      <c r="E6" s="20">
        <f>(D6/B6)^(1/2)-1</f>
        <v/>
      </c>
      <c r="F6" s="14" t="inlineStr">
        <is>
          <t>10-K FYE 2024-12-31, Filed 2025-02-20, Note 20 Segment Info, p.114</t>
        </is>
      </c>
    </row>
    <row r="7" ht="15" customHeight="1" s="15">
      <c r="A7" s="18" t="inlineStr">
        <is>
          <t>Concentrate Mix (%)</t>
        </is>
      </c>
      <c r="B7" s="20">
        <f>B5/B4</f>
        <v/>
      </c>
      <c r="C7" s="20">
        <f>C5/C4</f>
        <v/>
      </c>
      <c r="D7" s="20">
        <f>D5/D4</f>
        <v/>
      </c>
      <c r="F7" s="14" t="inlineStr">
        <is>
          <t>Calculated: Concentrate Rev / Total Rev</t>
        </is>
      </c>
    </row>
    <row r="9" ht="15" customHeight="1" s="15">
      <c r="A9" s="18" t="inlineStr">
        <is>
          <t>YoY Revenue Growth (%)</t>
        </is>
      </c>
      <c r="B9" s="14" t="inlineStr">
        <is>
          <t>N/A</t>
        </is>
      </c>
      <c r="C9" s="20">
        <f>C4/B4-1</f>
        <v/>
      </c>
      <c r="D9" s="20">
        <f>D4/C4-1</f>
        <v/>
      </c>
      <c r="F9" s="14" t="inlineStr">
        <is>
          <t>Calculated: (Current Year / Prior Year) - 1</t>
        </is>
      </c>
    </row>
    <row r="11" ht="15" customHeight="1" s="15">
      <c r="A11" s="21" t="inlineStr">
        <is>
          <t>REVENUE QUALITY INTERPRETATION</t>
        </is>
      </c>
    </row>
    <row r="12" ht="15" customHeight="1" s="15">
      <c r="A12" s="22" t="inlineStr">
        <is>
          <t>Coca-Cola's revenue model is heavily concentrated in high-margin concentrate operations (~59% of revenue), 
which generate superior gross margins vs. finished product operations. The concentrate business grew at CAGR of ~4.4% while 
finished product operations grew at ~5.3%, indicating the company continues to benefit from its capital-light franchise model.
Total revenue CAGR of 4.6% demonstrates solid top-line momentum in a mature category.</t>
        </is>
      </c>
    </row>
    <row r="13" ht="15" customHeight="1" s="15"/>
    <row r="14" ht="15" customHeight="1" s="15"/>
  </sheetData>
  <mergeCells count="3">
    <mergeCell ref="A1:G1"/>
    <mergeCell ref="A11:G11"/>
    <mergeCell ref="A12:G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14" min="1" max="1"/>
    <col width="15" customWidth="1" style="14" min="2" max="4"/>
    <col width="12" customWidth="1" style="14" min="5" max="5"/>
    <col width="60" customWidth="1" style="14" min="6" max="6"/>
  </cols>
  <sheetData>
    <row r="1" ht="15.75" customHeight="1" s="15">
      <c r="A1" s="16" t="inlineStr">
        <is>
          <t>COCA-COLA (KO) - CASH ECONOMICS FY2022-FY2024</t>
        </is>
      </c>
    </row>
    <row r="3" ht="15" customHeight="1" s="15">
      <c r="A3" s="17" t="inlineStr">
        <is>
          <t>Metric</t>
        </is>
      </c>
      <c r="B3" s="17" t="inlineStr">
        <is>
          <t>FY2022</t>
        </is>
      </c>
      <c r="C3" s="17" t="inlineStr">
        <is>
          <t>FY2023</t>
        </is>
      </c>
      <c r="D3" s="17" t="inlineStr">
        <is>
          <t>FY2024</t>
        </is>
      </c>
      <c r="E3" s="17" t="inlineStr">
        <is>
          <t>3-Yr Avg</t>
        </is>
      </c>
      <c r="F3" s="17" t="inlineStr">
        <is>
          <t>Source</t>
        </is>
      </c>
    </row>
    <row r="4" ht="15" customHeight="1" s="15">
      <c r="A4" s="18" t="inlineStr">
        <is>
          <t>Net Income ($mm)</t>
        </is>
      </c>
      <c r="B4" s="19" t="n">
        <v>9542</v>
      </c>
      <c r="C4" s="19" t="n">
        <v>10714</v>
      </c>
      <c r="D4" s="19" t="n">
        <v>10626</v>
      </c>
      <c r="E4" s="23">
        <f>AVERAGE(B4:D4)</f>
        <v/>
      </c>
      <c r="F4" s="14" t="inlineStr">
        <is>
          <t>10-K FYE 2024-12-31, Consolidated Statements of Income, p.63</t>
        </is>
      </c>
    </row>
    <row r="5" ht="15" customHeight="1" s="15">
      <c r="A5" s="18" t="inlineStr">
        <is>
          <t>Cash From Operations ($mm)</t>
        </is>
      </c>
      <c r="B5" s="19" t="n">
        <v>10794</v>
      </c>
      <c r="C5" s="19" t="n">
        <v>13906</v>
      </c>
      <c r="D5" s="19" t="n">
        <v>13344</v>
      </c>
      <c r="E5" s="23">
        <f>AVERAGE(B5:D5)</f>
        <v/>
      </c>
      <c r="F5" s="14" t="inlineStr">
        <is>
          <t>10-K FYE 2024-12-31, Consolidated Statements of Cash Flows, p.65</t>
        </is>
      </c>
    </row>
    <row r="6" ht="15" customHeight="1" s="15">
      <c r="A6" s="18" t="inlineStr">
        <is>
          <t>Capital Expenditures ($mm)</t>
        </is>
      </c>
      <c r="B6" s="19" t="n">
        <v>1484</v>
      </c>
      <c r="C6" s="19" t="n">
        <v>1866</v>
      </c>
      <c r="D6" s="19" t="n">
        <v>1931</v>
      </c>
      <c r="E6" s="23">
        <f>AVERAGE(B6:D6)</f>
        <v/>
      </c>
      <c r="F6" s="14" t="inlineStr">
        <is>
          <t>10-K FYE 2024-12-31, Consolidated Statements of Cash Flows, p.65</t>
        </is>
      </c>
    </row>
    <row r="7" ht="15" customHeight="1" s="15">
      <c r="A7" s="18" t="inlineStr">
        <is>
          <t>Free Cash Flow ($mm)</t>
        </is>
      </c>
      <c r="B7" s="23">
        <f>B5-B6</f>
        <v/>
      </c>
      <c r="C7" s="23">
        <f>C5-C6</f>
        <v/>
      </c>
      <c r="D7" s="23">
        <f>D5-D6</f>
        <v/>
      </c>
      <c r="E7" s="23">
        <f>AVERAGE(B7:D7)</f>
        <v/>
      </c>
      <c r="F7" s="14" t="inlineStr">
        <is>
          <t>Calculated: CFO - Capex</t>
        </is>
      </c>
    </row>
    <row r="9" ht="15" customHeight="1" s="15">
      <c r="A9" s="18" t="inlineStr">
        <is>
          <t>FCF Conversion (FCF / Net Income)</t>
        </is>
      </c>
      <c r="B9" s="20">
        <f>B7/B4</f>
        <v/>
      </c>
      <c r="C9" s="20">
        <f>C7/C4</f>
        <v/>
      </c>
      <c r="D9" s="20">
        <f>D7/D4</f>
        <v/>
      </c>
      <c r="E9" s="20">
        <f>AVERAGE(B9:D9)</f>
        <v/>
      </c>
      <c r="F9" s="14" t="inlineStr">
        <is>
          <t>Calculated: FCF / Net Income</t>
        </is>
      </c>
    </row>
    <row r="10" ht="15" customHeight="1" s="15">
      <c r="A10" s="18" t="inlineStr">
        <is>
          <t>Capex Intensity (Capex / Revenue)</t>
        </is>
      </c>
      <c r="B10" s="20">
        <f>B6/'Revenue Quality'!B4</f>
        <v/>
      </c>
      <c r="C10" s="20">
        <f>C6/'Revenue Quality'!C4</f>
        <v/>
      </c>
      <c r="D10" s="20">
        <f>D6/'Revenue Quality'!D4</f>
        <v/>
      </c>
      <c r="E10" s="20">
        <f>AVERAGE(B10:D10)</f>
        <v/>
      </c>
      <c r="F10" s="14" t="inlineStr">
        <is>
          <t>Calculated: Capex / Revenue</t>
        </is>
      </c>
    </row>
    <row r="12" ht="15" customHeight="1" s="15">
      <c r="A12" s="18" t="inlineStr">
        <is>
          <t>Dividends Paid ($mm)</t>
        </is>
      </c>
      <c r="B12" s="19" t="n">
        <v>7616</v>
      </c>
      <c r="C12" s="19" t="n">
        <v>7983</v>
      </c>
      <c r="D12" s="19" t="n">
        <v>8201</v>
      </c>
      <c r="E12" s="23">
        <f>AVERAGE(B12:D12)</f>
        <v/>
      </c>
      <c r="F12" s="14" t="inlineStr">
        <is>
          <t>10-K FYE 2024-12-31, Consolidated Statements of Cash Flows, p.65</t>
        </is>
      </c>
    </row>
    <row r="13" ht="15" customHeight="1" s="15">
      <c r="A13" s="18" t="inlineStr">
        <is>
          <t>Share Buybacks ($mm)</t>
        </is>
      </c>
      <c r="B13" s="19" t="n">
        <v>565</v>
      </c>
      <c r="C13" s="19" t="n">
        <v>900</v>
      </c>
      <c r="D13" s="19" t="n">
        <v>1015</v>
      </c>
      <c r="E13" s="23">
        <f>AVERAGE(B13:D13)</f>
        <v/>
      </c>
      <c r="F13" s="14" t="inlineStr">
        <is>
          <t>10-K FYE 2024-12-31, Consolidated Statements of Cash Flows, p.65</t>
        </is>
      </c>
    </row>
    <row r="14" ht="15" customHeight="1" s="15">
      <c r="A14" s="18" t="inlineStr">
        <is>
          <t>Total Shareholder Returns ($mm)</t>
        </is>
      </c>
      <c r="B14" s="23">
        <f>B12+B13</f>
        <v/>
      </c>
      <c r="C14" s="23">
        <f>C12+C13</f>
        <v/>
      </c>
      <c r="D14" s="23">
        <f>D12+D13</f>
        <v/>
      </c>
      <c r="E14" s="23">
        <f>AVERAGE(B14:D14)</f>
        <v/>
      </c>
      <c r="F14" s="14" t="inlineStr">
        <is>
          <t>Calculated: Dividends + Buybacks</t>
        </is>
      </c>
    </row>
    <row r="15" ht="15" customHeight="1" s="15">
      <c r="A15" s="18" t="inlineStr">
        <is>
          <t>Cash Return Ratio (Returns / FCF)</t>
        </is>
      </c>
      <c r="B15" s="20">
        <f>B14/B6</f>
        <v/>
      </c>
      <c r="C15" s="20">
        <f>C14/C6</f>
        <v/>
      </c>
      <c r="D15" s="20">
        <f>D14/D6</f>
        <v/>
      </c>
      <c r="E15" s="20">
        <f>AVERAGE(B15:D15)</f>
        <v/>
      </c>
      <c r="F15" s="14" t="inlineStr">
        <is>
          <t>Calculated: Total Shareholder Returns / FCF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5" customWidth="1" style="15" min="1" max="1"/>
    <col width="15" customWidth="1" style="15" min="2" max="2"/>
    <col width="15" customWidth="1" style="15" min="3" max="3"/>
    <col width="15" customWidth="1" style="15" min="4" max="4"/>
    <col width="60" customWidth="1" style="15" min="5" max="5"/>
  </cols>
  <sheetData>
    <row r="1">
      <c r="A1" s="31" t="inlineStr">
        <is>
          <t>COCA-COLA (KO) - VALUATION CONTEXT AS OF 2024-12-31</t>
        </is>
      </c>
    </row>
    <row r="3">
      <c r="A3" s="25" t="inlineStr">
        <is>
          <t>Valuation Metric</t>
        </is>
      </c>
      <c r="B3" s="25" t="inlineStr">
        <is>
          <t>Value</t>
        </is>
      </c>
      <c r="E3" s="25" t="inlineStr">
        <is>
          <t>Source / Citation</t>
        </is>
      </c>
    </row>
    <row r="4">
      <c r="A4" s="25" t="inlineStr">
        <is>
          <t>Stock Price (2024-12-31)</t>
        </is>
      </c>
      <c r="B4" s="32" t="n">
        <v>60.48</v>
      </c>
      <c r="E4" s="14" t="inlineStr">
        <is>
          <t>Yahoo Finance: KO closing price Dec 31, 2024 = $60.48</t>
        </is>
      </c>
    </row>
    <row r="5">
      <c r="A5" s="25" t="inlineStr">
        <is>
          <t>Shares Outstanding (mm)</t>
        </is>
      </c>
      <c r="B5" s="33" t="n">
        <v>4301</v>
      </c>
      <c r="E5" s="14" t="inlineStr">
        <is>
          <t>10-K FYE 2024-12-31, Filed 2025-02-20, Cover Page (4,301mm shares as of 2/18/2025)</t>
        </is>
      </c>
    </row>
    <row r="6">
      <c r="A6" s="25" t="inlineStr">
        <is>
          <t>Market Cap ($mm)</t>
        </is>
      </c>
      <c r="B6" s="34">
        <f>B4*B5</f>
        <v/>
      </c>
    </row>
    <row r="7">
      <c r="A7" s="25" t="inlineStr">
        <is>
          <t>Total Debt ($mm)</t>
        </is>
      </c>
      <c r="B7" s="33" t="n">
        <v>42939</v>
      </c>
      <c r="E7" s="14" t="inlineStr">
        <is>
          <t>10-K FYE 2024-12-31, Filed 2025-02-20, Consolidated Balance Sheets, p.64</t>
        </is>
      </c>
    </row>
    <row r="8">
      <c r="A8" s="25" t="inlineStr">
        <is>
          <t>Cash &amp; Equivalents ($mm)</t>
        </is>
      </c>
      <c r="B8" s="33" t="n">
        <v>10182</v>
      </c>
      <c r="E8" s="14" t="inlineStr">
        <is>
          <t>10-K FYE 2024-12-31, Filed 2025-02-20, Consolidated Balance Sheets, p.64</t>
        </is>
      </c>
    </row>
    <row r="9">
      <c r="A9" s="25" t="inlineStr">
        <is>
          <t>Net Debt ($mm)</t>
        </is>
      </c>
      <c r="B9" s="34">
        <f>B7-B8</f>
        <v/>
      </c>
    </row>
    <row r="10">
      <c r="A10" s="25" t="inlineStr">
        <is>
          <t>Enterprise Value ($mm)</t>
        </is>
      </c>
      <c r="B10" s="34">
        <f>B6+B9</f>
        <v/>
      </c>
    </row>
    <row r="12">
      <c r="A12" s="25" t="inlineStr">
        <is>
          <t>KEY VALUATION MULTIPLES</t>
        </is>
      </c>
    </row>
    <row r="13">
      <c r="A13" s="25" t="inlineStr">
        <is>
          <t>P/E (Price / EPS)</t>
        </is>
      </c>
      <c r="B13" s="35">
        <f>B6/'Cash Economics'!D4</f>
        <v/>
      </c>
    </row>
    <row r="14">
      <c r="A14" s="25" t="inlineStr">
        <is>
          <t>EV / EBITDA</t>
        </is>
      </c>
      <c r="B14" s="35">
        <f>B10/15939</f>
        <v/>
      </c>
      <c r="E14" s="14" t="inlineStr">
        <is>
          <t>EBITDA = $15,939mm (Operating Income + D&amp;A from 10-K FYE 2024-12-31)</t>
        </is>
      </c>
    </row>
    <row r="15">
      <c r="A15" s="25" t="inlineStr">
        <is>
          <t>EV / Revenue</t>
        </is>
      </c>
      <c r="B15" s="36">
        <f>B10/'Revenue Quality'!D4</f>
        <v/>
      </c>
    </row>
    <row r="16">
      <c r="A16" s="25" t="inlineStr">
        <is>
          <t>FCF Yield (%)</t>
        </is>
      </c>
      <c r="B16" s="37">
        <f>'Cash Economics'!D7/B6</f>
        <v/>
      </c>
    </row>
    <row r="18">
      <c r="A18" s="25" t="inlineStr">
        <is>
          <t>HISTORICAL PRICE DATA FOR RETURN CALCULATIONS</t>
        </is>
      </c>
    </row>
    <row r="19">
      <c r="A19" s="25" t="inlineStr">
        <is>
          <t>KO Stock Price (2023-12-31)</t>
        </is>
      </c>
      <c r="B19" s="32" t="n">
        <v>55.41</v>
      </c>
      <c r="E19" s="14" t="inlineStr">
        <is>
          <t>Yahoo Finance: KO closing price Dec 29, 2023 = $55.41</t>
        </is>
      </c>
    </row>
    <row r="20">
      <c r="A20" s="25" t="inlineStr">
        <is>
          <t>KO Stock Price (2021-12-31)</t>
        </is>
      </c>
      <c r="B20" s="32" t="n">
        <v>59.36</v>
      </c>
      <c r="E20" s="14" t="inlineStr">
        <is>
          <t>Yahoo Finance: KO closing price Dec 31, 2021 = $59.36</t>
        </is>
      </c>
    </row>
    <row r="21">
      <c r="A21" s="25" t="inlineStr">
        <is>
          <t>PEP Stock Price (2024-12-31)</t>
        </is>
      </c>
      <c r="B21" s="32" t="n">
        <v>157</v>
      </c>
      <c r="E21" s="14" t="inlineStr">
        <is>
          <t>Yahoo Finance: PEP closing price Dec 31, 2024 = $157.00</t>
        </is>
      </c>
    </row>
    <row r="22">
      <c r="A22" s="25" t="inlineStr">
        <is>
          <t>PEP Stock Price (2023-12-31)</t>
        </is>
      </c>
      <c r="B22" s="32" t="n">
        <v>169.29</v>
      </c>
      <c r="E22" s="14" t="inlineStr">
        <is>
          <t>Yahoo Finance: PEP closing price Dec 29, 2023 = $169.29</t>
        </is>
      </c>
    </row>
    <row r="23">
      <c r="A23" s="25" t="inlineStr">
        <is>
          <t>PEP Stock Price (2021-12-31)</t>
        </is>
      </c>
      <c r="B23" s="32" t="n">
        <v>172.24</v>
      </c>
      <c r="E23" s="14" t="inlineStr">
        <is>
          <t>Yahoo Finance: PEP closing price Dec 31, 2021 = $172.24</t>
        </is>
      </c>
    </row>
    <row r="24">
      <c r="A24" s="25" t="inlineStr">
        <is>
          <t>S&amp;P 500 Index (2024-12-31)</t>
        </is>
      </c>
      <c r="B24" s="38" t="n">
        <v>5881.63</v>
      </c>
      <c r="E24" s="14" t="inlineStr">
        <is>
          <t>Investing.com: S&amp;P 500 closing value Dec 31, 2024 = 5,881.63</t>
        </is>
      </c>
    </row>
    <row r="25">
      <c r="A25" s="25" t="inlineStr">
        <is>
          <t>S&amp;P 500 Index (2023-12-31)</t>
        </is>
      </c>
      <c r="B25" s="38" t="n">
        <v>4769.83</v>
      </c>
      <c r="E25" s="14" t="inlineStr">
        <is>
          <t>Investing.com: S&amp;P 500 closing value Dec 29, 2023 = 4,769.83</t>
        </is>
      </c>
    </row>
    <row r="26">
      <c r="A26" s="25" t="inlineStr">
        <is>
          <t>S&amp;P 500 Index (2021-12-31)</t>
        </is>
      </c>
      <c r="B26" s="38" t="n">
        <v>4766.18</v>
      </c>
      <c r="E26" s="14" t="inlineStr">
        <is>
          <t>FRED St. Louis Fed: S&amp;P 500 closing value Dec 31, 2021 = 4,766.18</t>
        </is>
      </c>
    </row>
    <row r="28">
      <c r="A28" s="25" t="inlineStr">
        <is>
          <t>STOCK PRICE RETURNS</t>
        </is>
      </c>
    </row>
    <row r="29">
      <c r="A29" s="25" t="inlineStr">
        <is>
          <t>Period</t>
        </is>
      </c>
      <c r="B29" s="25" t="inlineStr">
        <is>
          <t>KO Return</t>
        </is>
      </c>
      <c r="C29" s="25" t="inlineStr">
        <is>
          <t>PEP Return</t>
        </is>
      </c>
      <c r="D29" s="25" t="inlineStr">
        <is>
          <t>S&amp;P 500 Return</t>
        </is>
      </c>
    </row>
    <row r="30">
      <c r="A30" s="39" t="inlineStr">
        <is>
          <t>1-Year (12/31/23 - 12/31/24)</t>
        </is>
      </c>
      <c r="B30" s="40">
        <f>B4/B18-1</f>
        <v/>
      </c>
      <c r="C30" s="40">
        <f>B21/B22-1</f>
        <v/>
      </c>
      <c r="D30" s="40">
        <f>B24/B25-1</f>
        <v/>
      </c>
    </row>
    <row r="31">
      <c r="A31" s="39" t="inlineStr">
        <is>
          <t>3-Year CAGR (12/31/21 - 12/31/24)</t>
        </is>
      </c>
      <c r="B31" s="40">
        <f>(B4/B19)^(1/3)-1</f>
        <v/>
      </c>
      <c r="C31" s="40">
        <f>(B21/B23)^(1/3)-1</f>
        <v/>
      </c>
      <c r="D31" s="40">
        <f>(B24/B26)^(1/3)-1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2026-02-06T22:26:36Z</dcterms:created>
  <dcterms:modified xmlns:dcterms="http://purl.org/dc/terms/" xmlns:xsi="http://www.w3.org/2001/XMLSchema-instance" xsi:type="dcterms:W3CDTF">2026-02-06T22:54:23Z</dcterms:modified>
  <cp:revision>0</cp:revision>
</cp:coreProperties>
</file>