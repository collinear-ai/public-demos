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Quality" sheetId="1" state="visible" r:id="rId3"/>
    <sheet name="Cash Economics" sheetId="2" state="visible" r:id="rId4"/>
    <sheet name="Valuation Contex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<sst xmlns="http://schemas.openxmlformats.org/spreadsheetml/2006/main" count="247" uniqueCount="179">
  <si>
    <t xml:space="preserve">The Coca-Cola Company (KO) — Revenue Quality Analysis</t>
  </si>
  <si>
    <t xml:space="preserve">Source: 10-K filings for fiscal years ended 12/31/2022, 12/31/2023, 12/31/2024</t>
  </si>
  <si>
    <t xml:space="preserve">VOLUME vs. PRICE/MIX DECOMPOSITION</t>
  </si>
  <si>
    <t xml:space="preserve">FY2022</t>
  </si>
  <si>
    <t xml:space="preserve">FY2023</t>
  </si>
  <si>
    <t xml:space="preserve">FY2024</t>
  </si>
  <si>
    <t xml:space="preserve">Source / Filing Reference</t>
  </si>
  <si>
    <t xml:space="preserve">Reported Net Revenue ($mm)</t>
  </si>
  <si>
    <t xml:space="preserve">10-K, Consolidated Stmt of Income, each FY</t>
  </si>
  <si>
    <t xml:space="preserve">Net Revenue Growth (YoY)</t>
  </si>
  <si>
    <t xml:space="preserve">n/a</t>
  </si>
  <si>
    <t xml:space="preserve">Calculated: (Current - Prior) / Prior</t>
  </si>
  <si>
    <t xml:space="preserve">Organic Revenue Growth (non-GAAP)</t>
  </si>
  <si>
    <t xml:space="preserve">10-K Item 7 / Earnings Release, MD&amp;A, each FY</t>
  </si>
  <si>
    <t xml:space="preserve">Unit Case Volume Growth</t>
  </si>
  <si>
    <t xml:space="preserve">10-K Item 7, MD&amp;A Operating Review, each FY</t>
  </si>
  <si>
    <t xml:space="preserve">Concentrate Sales Growth</t>
  </si>
  <si>
    <t xml:space="preserve">10-K Item 7, MD&amp;A / Earnings Release revenue bridge</t>
  </si>
  <si>
    <t xml:space="preserve">Price/Mix Growth</t>
  </si>
  <si>
    <t xml:space="preserve">Currency Impact</t>
  </si>
  <si>
    <t xml:space="preserve">Structural Changes (Acq/Div)</t>
  </si>
  <si>
    <t xml:space="preserve">Price/Mix as % of Organic Growth</t>
  </si>
  <si>
    <t xml:space="preserve">Calculated: Price/Mix ÷ Organic Revenue Growth</t>
  </si>
  <si>
    <t xml:space="preserve">Volume as % of Organic Growth</t>
  </si>
  <si>
    <t xml:space="preserve">Calculated: Concentrate Sales ÷ Organic Revenue Growth</t>
  </si>
  <si>
    <t xml:space="preserve">Analyst Note:</t>
  </si>
  <si>
    <t xml:space="preserve">KO's organic growth has been overwhelmingly price/mix-driven (≈80-85% of organic growth). Volume growth is modest (1-2%) which is</t>
  </si>
  <si>
    <t xml:space="preserve">typical for a mature beverage company. ~5pp of price/mix in FY2024 came from hyperinflationary markets (mainly Argentina).</t>
  </si>
  <si>
    <t xml:space="preserve">Structural changes (refranchising of bottling ops in India, Philippines, Bangladesh) are a -4pp drag in FY2024.</t>
  </si>
  <si>
    <t xml:space="preserve">GEOGRAPHIC SEGMENT NET REVENUES ($mm)</t>
  </si>
  <si>
    <t xml:space="preserve">Europe, Middle East &amp; Africa</t>
  </si>
  <si>
    <t xml:space="preserve">10-K, Note 20 — Operating Segments, each FY</t>
  </si>
  <si>
    <t xml:space="preserve">Latin America</t>
  </si>
  <si>
    <t xml:space="preserve">North America</t>
  </si>
  <si>
    <t xml:space="preserve">Asia Pacific</t>
  </si>
  <si>
    <t xml:space="preserve">Global Ventures</t>
  </si>
  <si>
    <t xml:space="preserve">Bottling Investments</t>
  </si>
  <si>
    <t xml:space="preserve">Corporate &amp; Eliminations</t>
  </si>
  <si>
    <t xml:space="preserve">Total Net Revenues</t>
  </si>
  <si>
    <t xml:space="preserve">Sum of segments</t>
  </si>
  <si>
    <t xml:space="preserve">% North America</t>
  </si>
  <si>
    <t xml:space="preserve">Calculated</t>
  </si>
  <si>
    <t xml:space="preserve">% International (ex-NA)</t>
  </si>
  <si>
    <t xml:space="preserve">% Bottling Investments</t>
  </si>
  <si>
    <t xml:space="preserve">CONCENTRATE vs. FINISHED PRODUCT REVENUE MIX ($mm)</t>
  </si>
  <si>
    <t xml:space="preserve">Concentrate Operations Revenue</t>
  </si>
  <si>
    <t xml:space="preserve">10-K, Note 20 — Revenue by product type, each FY</t>
  </si>
  <si>
    <t xml:space="preserve">Finished Product Operations Revenue</t>
  </si>
  <si>
    <t xml:space="preserve">Sum</t>
  </si>
  <si>
    <t xml:space="preserve">Concentrate % of Total</t>
  </si>
  <si>
    <t xml:space="preserve">Finished Product % of Total</t>
  </si>
  <si>
    <t xml:space="preserve">Concentrate operations (capital-light, high-margin) have grown from ~49% to ~52% of revenue FY22→FY24, driven by refranchising of</t>
  </si>
  <si>
    <t xml:space="preserve">bottling ops (India, Philippines, Bangladesh in FY24). This structural shift toward asset-light model boosts ROIC and margins over time.</t>
  </si>
  <si>
    <t xml:space="preserve">Finished product revenue declined in FY24 due to the divestiture of consolidated bottling operations classified as structural changes.</t>
  </si>
  <si>
    <t xml:space="preserve">The Coca-Cola Company (KO) — Cash Economics Analysis</t>
  </si>
  <si>
    <t xml:space="preserve">PROFITABILITY TO FREE CASH FLOW BRIDGE ($mm)</t>
  </si>
  <si>
    <t xml:space="preserve">Net Income (attributable to KO)</t>
  </si>
  <si>
    <t xml:space="preserve">D&amp;A</t>
  </si>
  <si>
    <t xml:space="preserve">10-K, Consolidated Stmt of Cash Flows, each FY</t>
  </si>
  <si>
    <t xml:space="preserve">EBITDA (Operating)</t>
  </si>
  <si>
    <t xml:space="preserve">Calculated: Op Income + D&amp;A</t>
  </si>
  <si>
    <t xml:space="preserve">Cash Flow from Operations (CFO)</t>
  </si>
  <si>
    <t xml:space="preserve">Capital Expenditures</t>
  </si>
  <si>
    <t xml:space="preserve">Free Cash Flow (CFO - CapEx)</t>
  </si>
  <si>
    <t xml:space="preserve">Memo: IRS Tax Litigation Deposit</t>
  </si>
  <si>
    <t xml:space="preserve">10-K Item 7, MD&amp;A / Earnings Release FY2024</t>
  </si>
  <si>
    <t xml:space="preserve">FCF excl. IRS Deposit</t>
  </si>
  <si>
    <t xml:space="preserve">Calculated: FCF + IRS deposit</t>
  </si>
  <si>
    <t xml:space="preserve">Operating Income</t>
  </si>
  <si>
    <t xml:space="preserve">EBITDA</t>
  </si>
  <si>
    <t xml:space="preserve">CASH CONVERSION &amp; CAPITAL INTENSITY METRICS</t>
  </si>
  <si>
    <t xml:space="preserve">FCF / Net Income</t>
  </si>
  <si>
    <t xml:space="preserve">FCF excl. IRS / Net Income</t>
  </si>
  <si>
    <t xml:space="preserve">Calculated — normalizes FY24 IRS deposit</t>
  </si>
  <si>
    <t xml:space="preserve">CFO / EBITDA</t>
  </si>
  <si>
    <t xml:space="preserve">CapEx / Revenue</t>
  </si>
  <si>
    <t xml:space="preserve">Calculated: CapEx ÷ Revenue (from Tab 1)</t>
  </si>
  <si>
    <t xml:space="preserve">CapEx / D&amp;A</t>
  </si>
  <si>
    <t xml:space="preserve">Calculated: investment vs. maintenance proxy</t>
  </si>
  <si>
    <t xml:space="preserve">Revenue ($mm — from Tab 1)</t>
  </si>
  <si>
    <t xml:space="preserve">Cross-sheet reference</t>
  </si>
  <si>
    <t xml:space="preserve">CAPITAL ALLOCATION ($mm)</t>
  </si>
  <si>
    <t xml:space="preserve">Dividends Paid</t>
  </si>
  <si>
    <t xml:space="preserve">Share Repurchases (gross)</t>
  </si>
  <si>
    <t xml:space="preserve">Total Shareholder Returns</t>
  </si>
  <si>
    <t xml:space="preserve">Acquisitions (net)</t>
  </si>
  <si>
    <t xml:space="preserve">Total Reinvestment</t>
  </si>
  <si>
    <t xml:space="preserve">Shareholder Returns / CFO</t>
  </si>
  <si>
    <t xml:space="preserve">Shareholder Returns / FCF excl. IRS</t>
  </si>
  <si>
    <t xml:space="preserve">Dividend Payout Ratio (Div / NI)</t>
  </si>
  <si>
    <t xml:space="preserve">WORKING CAPITAL &amp; CASH CONVERSION CYCLE</t>
  </si>
  <si>
    <t xml:space="preserve">Trade Accounts Receivable</t>
  </si>
  <si>
    <t xml:space="preserve">10-K, Consolidated Balance Sheet, each FY</t>
  </si>
  <si>
    <t xml:space="preserve">Inventories</t>
  </si>
  <si>
    <t xml:space="preserve">Trade Accounts Payable</t>
  </si>
  <si>
    <t xml:space="preserve">10-K, Consolidated Balance Sheet, each FY (Accts payable + accrued liabilities)</t>
  </si>
  <si>
    <t xml:space="preserve">Cost of Goods Sold</t>
  </si>
  <si>
    <t xml:space="preserve">Net Revenue</t>
  </si>
  <si>
    <t xml:space="preserve">Days Sales Outstanding (DSO)</t>
  </si>
  <si>
    <t xml:space="preserve">Calculated: (AR / Revenue) × 365</t>
  </si>
  <si>
    <t xml:space="preserve">Days Inventory Outstanding (DIO)</t>
  </si>
  <si>
    <t xml:space="preserve">Calculated: (Inv / COGS) × 365</t>
  </si>
  <si>
    <t xml:space="preserve">Days Payable Outstanding (DPO)</t>
  </si>
  <si>
    <t xml:space="preserve">Calculated: (AP / COGS) × 365</t>
  </si>
  <si>
    <t xml:space="preserve">Cash Conversion Cycle (CCC)</t>
  </si>
  <si>
    <t xml:space="preserve">Calculated: DSO + DIO - DPO</t>
  </si>
  <si>
    <t xml:space="preserve">Analyst Notes:</t>
  </si>
  <si>
    <t xml:space="preserve">FY2024 CFO of $6.8B includes a $6.0B deposit to the IRS for ongoing tax litigation (Sec. 7481(a)). Excluding this one-time item,</t>
  </si>
  <si>
    <t xml:space="preserve">normalized FCF was ~$10.8B, up 11% YoY — consistent with KO's history of strong cash generation.</t>
  </si>
  <si>
    <t xml:space="preserve">Sign convention: KO presents capex as negative on the CFS (investing activities). We show it as a positive number here and subtract it.</t>
  </si>
  <si>
    <t xml:space="preserve">Trade AP includes 'Accounts payable and accrued expenses' per KO's balance sheet presentation. This is the most comparable metric</t>
  </si>
  <si>
    <t xml:space="preserve">as KO bundles these line items. CCC is negative, indicating KO funds operations on supplier credit — characteristic of concentrate model.</t>
  </si>
  <si>
    <t xml:space="preserve">The Coca-Cola Company (KO) — Valuation Context</t>
  </si>
  <si>
    <t xml:space="preserve">As-of date: December 31, 2024 market close</t>
  </si>
  <si>
    <t xml:space="preserve">MARKET CAPITALIZATION &amp; ENTERPRISE VALUE</t>
  </si>
  <si>
    <t xml:space="preserve">Value</t>
  </si>
  <si>
    <t xml:space="preserve">Share Price (12/31/2024 close)</t>
  </si>
  <si>
    <t xml:space="preserve">Yahoo Finance / Bloomberg — KO close 12/31/2024</t>
  </si>
  <si>
    <t xml:space="preserve">Diluted Shares Outstanding (mm)</t>
  </si>
  <si>
    <t xml:space="preserve">10-K FY2024, Consolidated Stmt of Income — diluted shares</t>
  </si>
  <si>
    <t xml:space="preserve">Market Capitalization ($mm)</t>
  </si>
  <si>
    <t xml:space="preserve">Calculated: Price × Diluted Shares</t>
  </si>
  <si>
    <t xml:space="preserve">(+) Total Debt (short + long-term)</t>
  </si>
  <si>
    <t xml:space="preserve">10-K FY2024, Consolidated Balance Sheet</t>
  </si>
  <si>
    <t xml:space="preserve">(+) Minority Interest (NCI)</t>
  </si>
  <si>
    <t xml:space="preserve">10-K FY2024, Consolidated Balance Sheet — NCI equity</t>
  </si>
  <si>
    <t xml:space="preserve">(-) Cash &amp; Cash Equivalents</t>
  </si>
  <si>
    <t xml:space="preserve">(-) Short-term Investments</t>
  </si>
  <si>
    <t xml:space="preserve">10-K FY2024, Consolidated Balance Sheet — marketable securities</t>
  </si>
  <si>
    <t xml:space="preserve">Enterprise Value ($mm)</t>
  </si>
  <si>
    <t xml:space="preserve">Calculated: Mkt Cap + Debt + NCI - Cash - ST Investments</t>
  </si>
  <si>
    <t xml:space="preserve">Net Debt Methodology:</t>
  </si>
  <si>
    <t xml:space="preserve">Total Debt = current portion of long-term debt + loans/notes payable + long-term debt. Cash offset includes cash &amp; equivalents plus</t>
  </si>
  <si>
    <t xml:space="preserve">short-term marketable securities. We add NCI because KO consolidates entities with minority interests. We exclude equity method</t>
  </si>
  <si>
    <t xml:space="preserve">investments ($19.8B) from the EV bridge as they represent ownership stakes in bottlers already captured via equity income in earnings.</t>
  </si>
  <si>
    <t xml:space="preserve">VALUATION MULTIPLES (as-of 12/31/2024)</t>
  </si>
  <si>
    <t xml:space="preserve">Multiple</t>
  </si>
  <si>
    <t xml:space="preserve">Rationale / Source</t>
  </si>
  <si>
    <t xml:space="preserve">EV / EBITDA (FY2024)</t>
  </si>
  <si>
    <t xml:space="preserve">Core comps multiple for staples. EBITDA from Cash Economics tab.</t>
  </si>
  <si>
    <t xml:space="preserve">EV / EBIT (FY2024)</t>
  </si>
  <si>
    <t xml:space="preserve">Captures D&amp;A differences vs. peers (PEP has higher capex).</t>
  </si>
  <si>
    <t xml:space="preserve">P/E — Reported (FY2024)</t>
  </si>
  <si>
    <t xml:space="preserve">Trailing P/E on GAAP net income.</t>
  </si>
  <si>
    <t xml:space="preserve">P/E — Comparable EPS (FY2024)</t>
  </si>
  <si>
    <t xml:space="preserve">Uses comparable EPS of $2.88 (non-GAAP) per earnings release.</t>
  </si>
  <si>
    <t xml:space="preserve">FCF Yield (excl. IRS deposit)</t>
  </si>
  <si>
    <t xml:space="preserve">Normalized FCF / Market Cap — key for dividend sustainability.</t>
  </si>
  <si>
    <t xml:space="preserve">Dividend Yield</t>
  </si>
  <si>
    <t xml:space="preserve">Annualized dividend of $1.94/share ÷ share price.</t>
  </si>
  <si>
    <t xml:space="preserve">Why these multiples:</t>
  </si>
  <si>
    <t xml:space="preserve">EV/EBITDA is the primary comp metric for consumer staples. EV/EBIT adjusts for KO's declining D&amp;A as it refranchises bottling ops.</t>
  </si>
  <si>
    <t xml:space="preserve">P/E on comparable EPS strips out one-time items (fairlife contingent consideration, BODYARMOR impairment, restructuring).</t>
  </si>
  <si>
    <t xml:space="preserve">FCF yield (normalized) tests whether the dividend is covered by real cash generation.</t>
  </si>
  <si>
    <t xml:space="preserve">PRICE RETURN COMPARISON (not total return)</t>
  </si>
  <si>
    <t xml:space="preserve">12/31/2021</t>
  </si>
  <si>
    <t xml:space="preserve">12/31/2023</t>
  </si>
  <si>
    <t xml:space="preserve">12/31/2024</t>
  </si>
  <si>
    <t xml:space="preserve">Source</t>
  </si>
  <si>
    <t xml:space="preserve">KO Price ($)</t>
  </si>
  <si>
    <t xml:space="preserve">Yahoo Finance historical close</t>
  </si>
  <si>
    <t xml:space="preserve">PEP Price ($)</t>
  </si>
  <si>
    <t xml:space="preserve">S&amp;P 500 (SPY) Price ($)</t>
  </si>
  <si>
    <t xml:space="preserve">Yahoo Finance historical close (SPY ETF)</t>
  </si>
  <si>
    <t xml:space="preserve">3-Year Return</t>
  </si>
  <si>
    <t xml:space="preserve">1-Year Return</t>
  </si>
  <si>
    <t xml:space="preserve">Calculation</t>
  </si>
  <si>
    <t xml:space="preserve">KO</t>
  </si>
  <si>
    <t xml:space="preserve">Price return: (End - Start) / Start</t>
  </si>
  <si>
    <t xml:space="preserve">PEP (key competitor)</t>
  </si>
  <si>
    <t xml:space="preserve">S&amp;P 500 (SPY)</t>
  </si>
  <si>
    <t xml:space="preserve">KO vs. S&amp;P 500 (excess return)</t>
  </si>
  <si>
    <t xml:space="preserve">KO return minus S&amp;P 500 return</t>
  </si>
  <si>
    <t xml:space="preserve">KO vs. PEP (excess return)</t>
  </si>
  <si>
    <t xml:space="preserve">KO return minus PEP return</t>
  </si>
  <si>
    <t xml:space="preserve">Notes:</t>
  </si>
  <si>
    <t xml:space="preserve">Returns are price-only (exclude dividends). PEP is selected as the primary peer (global beverage/snack comps).</t>
  </si>
  <si>
    <t xml:space="preserve">SPY is used as the S&amp;P 500 proxy. All prices are adjusted closing prices from Yahoo Finance.</t>
  </si>
  <si>
    <t xml:space="preserve">KO has significantly underperformed the S&amp;P 500 over both windows, though it outperformed PEP over 1 year.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</si>
</sst>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0.0\x"/>
    <numFmt numFmtId="168" formatCode="0.0"/>
    <numFmt numFmtId="169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9"/>
      <color rgb="FF555555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4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  <c r="B5" s="4" t="s">
        <v>3</v>
      </c>
      <c r="C5" s="4" t="s">
        <v>4</v>
      </c>
      <c r="D5" s="4" t="s">
        <v>5</v>
      </c>
      <c r="E5" s="4"/>
      <c r="F5" s="4" t="s">
        <v>6</v>
      </c>
    </row>
    <row r="6" customFormat="false" ht="15" hidden="false" customHeight="false" outlineLevel="0" collapsed="false">
      <c r="A6" s="5" t="s">
        <v>7</v>
      </c>
      <c r="B6" s="6" t="n">
        <v>43004</v>
      </c>
      <c r="C6" s="6" t="n">
        <v>45754</v>
      </c>
      <c r="D6" s="6" t="n">
        <v>47061</v>
      </c>
      <c r="F6" s="2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7" t="n">
        <f aca="false">(C6-B6)/B6</f>
        <v>0.0639475397637429</v>
      </c>
      <c r="D7" s="7" t="n">
        <f aca="false">(D6-C6)/C6</f>
        <v>0.0285658084539057</v>
      </c>
      <c r="F7" s="2" t="s">
        <v>11</v>
      </c>
    </row>
    <row r="8" customFormat="false" ht="15" hidden="false" customHeight="false" outlineLevel="0" collapsed="false">
      <c r="A8" s="5" t="s">
        <v>12</v>
      </c>
      <c r="B8" s="8" t="n">
        <v>0.16</v>
      </c>
      <c r="C8" s="8" t="n">
        <v>0.12</v>
      </c>
      <c r="D8" s="8" t="n">
        <v>0.12</v>
      </c>
      <c r="F8" s="2" t="s">
        <v>13</v>
      </c>
    </row>
    <row r="9" customFormat="false" ht="15" hidden="false" customHeight="false" outlineLevel="0" collapsed="false">
      <c r="A9" s="9"/>
      <c r="F9" s="2"/>
    </row>
    <row r="10" customFormat="false" ht="15" hidden="false" customHeight="false" outlineLevel="0" collapsed="false">
      <c r="A10" s="5" t="s">
        <v>14</v>
      </c>
      <c r="B10" s="8" t="n">
        <v>0.05</v>
      </c>
      <c r="C10" s="8" t="n">
        <v>0.02</v>
      </c>
      <c r="D10" s="8" t="n">
        <v>0.01</v>
      </c>
      <c r="F10" s="2" t="s">
        <v>15</v>
      </c>
    </row>
    <row r="11" customFormat="false" ht="15" hidden="false" customHeight="false" outlineLevel="0" collapsed="false">
      <c r="A11" s="5" t="s">
        <v>16</v>
      </c>
      <c r="B11" s="8" t="n">
        <v>0.04</v>
      </c>
      <c r="C11" s="8" t="n">
        <v>0.02</v>
      </c>
      <c r="D11" s="8" t="n">
        <v>0.02</v>
      </c>
      <c r="F11" s="2" t="s">
        <v>17</v>
      </c>
    </row>
    <row r="12" customFormat="false" ht="15" hidden="false" customHeight="false" outlineLevel="0" collapsed="false">
      <c r="A12" s="5" t="s">
        <v>18</v>
      </c>
      <c r="B12" s="8" t="n">
        <v>0.11</v>
      </c>
      <c r="C12" s="8" t="n">
        <v>0.1</v>
      </c>
      <c r="D12" s="8" t="n">
        <v>0.11</v>
      </c>
      <c r="F12" s="2" t="s">
        <v>17</v>
      </c>
    </row>
    <row r="13" customFormat="false" ht="15" hidden="false" customHeight="false" outlineLevel="0" collapsed="false">
      <c r="A13" s="5" t="s">
        <v>19</v>
      </c>
      <c r="B13" s="8" t="n">
        <v>-0.07</v>
      </c>
      <c r="C13" s="8" t="n">
        <v>-0.04</v>
      </c>
      <c r="D13" s="8" t="n">
        <v>-0.05</v>
      </c>
      <c r="F13" s="2" t="s">
        <v>17</v>
      </c>
    </row>
    <row r="14" customFormat="false" ht="15" hidden="false" customHeight="false" outlineLevel="0" collapsed="false">
      <c r="A14" s="5" t="s">
        <v>20</v>
      </c>
      <c r="B14" s="8" t="n">
        <v>-0.01</v>
      </c>
      <c r="C14" s="8" t="n">
        <v>-0.01</v>
      </c>
      <c r="D14" s="8" t="n">
        <v>-0.04</v>
      </c>
      <c r="F14" s="2" t="s">
        <v>17</v>
      </c>
    </row>
    <row r="15" customFormat="false" ht="15" hidden="false" customHeight="false" outlineLevel="0" collapsed="false">
      <c r="A15" s="9"/>
      <c r="F15" s="2"/>
    </row>
    <row r="16" customFormat="false" ht="15" hidden="false" customHeight="false" outlineLevel="0" collapsed="false">
      <c r="A16" s="5" t="s">
        <v>21</v>
      </c>
      <c r="B16" s="7" t="n">
        <f aca="false">IF(B8=0,"-",B12/B8)</f>
        <v>0.6875</v>
      </c>
      <c r="C16" s="7" t="n">
        <f aca="false">IF(C8=0,"-",C12/C8)</f>
        <v>0.833333333333333</v>
      </c>
      <c r="D16" s="7" t="n">
        <f aca="false">IF(D8=0,"-",D12/D8)</f>
        <v>0.916666666666667</v>
      </c>
      <c r="F16" s="2" t="s">
        <v>22</v>
      </c>
    </row>
    <row r="17" customFormat="false" ht="15" hidden="false" customHeight="false" outlineLevel="0" collapsed="false">
      <c r="A17" s="5" t="s">
        <v>23</v>
      </c>
      <c r="B17" s="7" t="n">
        <f aca="false">IF(B8=0,"-",B11/B8)</f>
        <v>0.25</v>
      </c>
      <c r="C17" s="7" t="n">
        <f aca="false">IF(C8=0,"-",C11/C8)</f>
        <v>0.166666666666667</v>
      </c>
      <c r="D17" s="7" t="n">
        <f aca="false">IF(D8=0,"-",D11/D8)</f>
        <v>0.166666666666667</v>
      </c>
      <c r="F17" s="2" t="s">
        <v>24</v>
      </c>
    </row>
    <row r="18" customFormat="false" ht="15" hidden="false" customHeight="false" outlineLevel="0" collapsed="false">
      <c r="A18" s="10" t="s">
        <v>25</v>
      </c>
    </row>
    <row r="19" customFormat="false" ht="15" hidden="false" customHeight="false" outlineLevel="0" collapsed="false">
      <c r="A19" s="2" t="s">
        <v>26</v>
      </c>
    </row>
    <row r="20" customFormat="false" ht="15" hidden="false" customHeight="false" outlineLevel="0" collapsed="false">
      <c r="A20" s="2" t="s">
        <v>27</v>
      </c>
    </row>
    <row r="21" customFormat="false" ht="15" hidden="false" customHeight="false" outlineLevel="0" collapsed="false">
      <c r="A21" s="2" t="s">
        <v>28</v>
      </c>
    </row>
    <row r="23" customFormat="false" ht="15" hidden="false" customHeight="false" outlineLevel="0" collapsed="false">
      <c r="A23" s="3" t="s">
        <v>29</v>
      </c>
    </row>
    <row r="24" customFormat="false" ht="15" hidden="false" customHeight="false" outlineLevel="0" collapsed="false">
      <c r="A24" s="4"/>
      <c r="B24" s="4" t="s">
        <v>3</v>
      </c>
      <c r="C24" s="4" t="s">
        <v>4</v>
      </c>
      <c r="D24" s="4" t="s">
        <v>5</v>
      </c>
      <c r="E24" s="4"/>
      <c r="F24" s="4" t="s">
        <v>6</v>
      </c>
    </row>
    <row r="25" customFormat="false" ht="15" hidden="false" customHeight="false" outlineLevel="0" collapsed="false">
      <c r="A25" s="5" t="s">
        <v>30</v>
      </c>
      <c r="B25" s="6" t="n">
        <v>7418</v>
      </c>
      <c r="C25" s="6" t="n">
        <v>7418</v>
      </c>
      <c r="D25" s="6" t="n">
        <v>7508</v>
      </c>
      <c r="F25" s="2" t="s">
        <v>31</v>
      </c>
    </row>
    <row r="26" customFormat="false" ht="15" hidden="false" customHeight="false" outlineLevel="0" collapsed="false">
      <c r="A26" s="5" t="s">
        <v>32</v>
      </c>
      <c r="B26" s="6" t="n">
        <v>4675</v>
      </c>
      <c r="C26" s="6" t="n">
        <v>5820</v>
      </c>
      <c r="D26" s="6" t="n">
        <v>6434</v>
      </c>
      <c r="F26" s="2" t="s">
        <v>31</v>
      </c>
    </row>
    <row r="27" customFormat="false" ht="15" hidden="false" customHeight="false" outlineLevel="0" collapsed="false">
      <c r="A27" s="5" t="s">
        <v>33</v>
      </c>
      <c r="B27" s="6" t="n">
        <v>15137</v>
      </c>
      <c r="C27" s="6" t="n">
        <v>16904</v>
      </c>
      <c r="D27" s="6" t="n">
        <v>18636</v>
      </c>
      <c r="F27" s="2" t="s">
        <v>31</v>
      </c>
    </row>
    <row r="28" customFormat="false" ht="15" hidden="false" customHeight="false" outlineLevel="0" collapsed="false">
      <c r="A28" s="5" t="s">
        <v>34</v>
      </c>
      <c r="B28" s="6" t="n">
        <v>5059</v>
      </c>
      <c r="C28" s="6" t="n">
        <v>4708</v>
      </c>
      <c r="D28" s="6" t="n">
        <v>5546</v>
      </c>
      <c r="F28" s="2" t="s">
        <v>31</v>
      </c>
    </row>
    <row r="29" customFormat="false" ht="15" hidden="false" customHeight="false" outlineLevel="0" collapsed="false">
      <c r="A29" s="5" t="s">
        <v>35</v>
      </c>
      <c r="B29" s="6" t="n">
        <v>2821</v>
      </c>
      <c r="C29" s="6" t="n">
        <v>3077</v>
      </c>
      <c r="D29" s="6" t="n">
        <v>3144</v>
      </c>
      <c r="F29" s="2" t="s">
        <v>31</v>
      </c>
    </row>
    <row r="30" customFormat="false" ht="15" hidden="false" customHeight="false" outlineLevel="0" collapsed="false">
      <c r="A30" s="5" t="s">
        <v>36</v>
      </c>
      <c r="B30" s="6" t="n">
        <v>7973</v>
      </c>
      <c r="C30" s="6" t="n">
        <v>7882</v>
      </c>
      <c r="D30" s="6" t="n">
        <v>5906</v>
      </c>
      <c r="F30" s="2" t="s">
        <v>31</v>
      </c>
    </row>
    <row r="31" customFormat="false" ht="15" hidden="false" customHeight="false" outlineLevel="0" collapsed="false">
      <c r="A31" s="5" t="s">
        <v>37</v>
      </c>
      <c r="B31" s="6" t="n">
        <v>-79</v>
      </c>
      <c r="C31" s="6" t="n">
        <v>-55</v>
      </c>
      <c r="D31" s="6" t="n">
        <v>-113</v>
      </c>
      <c r="F31" s="2" t="s">
        <v>31</v>
      </c>
    </row>
    <row r="32" customFormat="false" ht="15" hidden="false" customHeight="false" outlineLevel="0" collapsed="false">
      <c r="A32" s="9" t="s">
        <v>38</v>
      </c>
      <c r="B32" s="11" t="n">
        <f aca="false">SUM(B25:B31)</f>
        <v>43004</v>
      </c>
      <c r="C32" s="11" t="n">
        <f aca="false">SUM(C25:C31)</f>
        <v>45754</v>
      </c>
      <c r="D32" s="11" t="n">
        <f aca="false">SUM(D25:D31)</f>
        <v>47061</v>
      </c>
      <c r="F32" s="2" t="s">
        <v>39</v>
      </c>
    </row>
    <row r="33" customFormat="false" ht="15" hidden="false" customHeight="false" outlineLevel="0" collapsed="false">
      <c r="A33" s="5"/>
      <c r="F33" s="2"/>
    </row>
    <row r="34" customFormat="false" ht="15" hidden="false" customHeight="false" outlineLevel="0" collapsed="false">
      <c r="A34" s="5" t="s">
        <v>40</v>
      </c>
      <c r="B34" s="7" t="n">
        <f aca="false">B27/B32</f>
        <v>0.351990512510464</v>
      </c>
      <c r="C34" s="7" t="n">
        <f aca="false">C27/C32</f>
        <v>0.369454036805525</v>
      </c>
      <c r="D34" s="7" t="n">
        <f aca="false">D27/D32</f>
        <v>0.395996685153312</v>
      </c>
      <c r="F34" s="2" t="s">
        <v>41</v>
      </c>
    </row>
    <row r="35" customFormat="false" ht="15" hidden="false" customHeight="false" outlineLevel="0" collapsed="false">
      <c r="A35" s="5" t="s">
        <v>42</v>
      </c>
      <c r="B35" s="7" t="n">
        <f aca="false">(B25+B26+B28+B29)/B32</f>
        <v>0.464445167891359</v>
      </c>
      <c r="C35" s="7" t="n">
        <f aca="false">(C25+C26+C28+C29)/C32</f>
        <v>0.459478952659877</v>
      </c>
      <c r="D35" s="7" t="n">
        <f aca="false">(D25+D26+D28+D29)/D32</f>
        <v>0.480907758016192</v>
      </c>
      <c r="F35" s="2" t="s">
        <v>41</v>
      </c>
    </row>
    <row r="36" customFormat="false" ht="15" hidden="false" customHeight="false" outlineLevel="0" collapsed="false">
      <c r="A36" s="5" t="s">
        <v>43</v>
      </c>
      <c r="B36" s="7" t="n">
        <f aca="false">B30/B32</f>
        <v>0.185401358013208</v>
      </c>
      <c r="C36" s="7" t="n">
        <f aca="false">C30/C32</f>
        <v>0.172269091226997</v>
      </c>
      <c r="D36" s="7" t="n">
        <f aca="false">D30/D32</f>
        <v>0.12549669577782</v>
      </c>
      <c r="F36" s="2" t="s">
        <v>41</v>
      </c>
    </row>
    <row r="39" customFormat="false" ht="15" hidden="false" customHeight="false" outlineLevel="0" collapsed="false">
      <c r="A39" s="3" t="s">
        <v>44</v>
      </c>
    </row>
    <row r="40" customFormat="false" ht="15" hidden="false" customHeight="false" outlineLevel="0" collapsed="false">
      <c r="A40" s="4"/>
      <c r="B40" s="4" t="s">
        <v>3</v>
      </c>
      <c r="C40" s="4" t="s">
        <v>4</v>
      </c>
      <c r="D40" s="4" t="s">
        <v>5</v>
      </c>
      <c r="E40" s="4"/>
      <c r="F40" s="4" t="s">
        <v>6</v>
      </c>
    </row>
    <row r="41" customFormat="false" ht="15" hidden="false" customHeight="false" outlineLevel="0" collapsed="false">
      <c r="A41" s="5" t="s">
        <v>45</v>
      </c>
      <c r="B41" s="6" t="n">
        <v>21049</v>
      </c>
      <c r="C41" s="6" t="n">
        <v>22310</v>
      </c>
      <c r="D41" s="6" t="n">
        <v>24565</v>
      </c>
      <c r="F41" s="2" t="s">
        <v>46</v>
      </c>
    </row>
    <row r="42" customFormat="false" ht="15" hidden="false" customHeight="false" outlineLevel="0" collapsed="false">
      <c r="A42" s="5" t="s">
        <v>47</v>
      </c>
      <c r="B42" s="6" t="n">
        <v>21955</v>
      </c>
      <c r="C42" s="6" t="n">
        <v>23444</v>
      </c>
      <c r="D42" s="6" t="n">
        <v>22496</v>
      </c>
      <c r="F42" s="2" t="s">
        <v>46</v>
      </c>
    </row>
    <row r="43" customFormat="false" ht="15" hidden="false" customHeight="false" outlineLevel="0" collapsed="false">
      <c r="A43" s="9" t="s">
        <v>38</v>
      </c>
      <c r="B43" s="11" t="n">
        <f aca="false">B41+B42</f>
        <v>43004</v>
      </c>
      <c r="C43" s="11" t="n">
        <f aca="false">C41+C42</f>
        <v>45754</v>
      </c>
      <c r="D43" s="11" t="n">
        <f aca="false">D41+D42</f>
        <v>47061</v>
      </c>
      <c r="F43" s="2" t="s">
        <v>48</v>
      </c>
    </row>
    <row r="44" customFormat="false" ht="15" hidden="false" customHeight="false" outlineLevel="0" collapsed="false">
      <c r="A44" s="5"/>
      <c r="F44" s="2"/>
    </row>
    <row r="45" customFormat="false" ht="15" hidden="false" customHeight="false" outlineLevel="0" collapsed="false">
      <c r="A45" s="5" t="s">
        <v>49</v>
      </c>
      <c r="B45" s="7" t="n">
        <f aca="false">B41/B43</f>
        <v>0.4894660961771</v>
      </c>
      <c r="C45" s="7" t="n">
        <f aca="false">C41/C43</f>
        <v>0.487607640862001</v>
      </c>
      <c r="D45" s="7" t="n">
        <f aca="false">D41/D43</f>
        <v>0.52198210832749</v>
      </c>
      <c r="F45" s="2" t="s">
        <v>41</v>
      </c>
    </row>
    <row r="46" customFormat="false" ht="15" hidden="false" customHeight="false" outlineLevel="0" collapsed="false">
      <c r="A46" s="5" t="s">
        <v>50</v>
      </c>
      <c r="B46" s="7" t="n">
        <f aca="false">B42/B43</f>
        <v>0.5105339038229</v>
      </c>
      <c r="C46" s="7" t="n">
        <f aca="false">C42/C43</f>
        <v>0.512392359137999</v>
      </c>
      <c r="D46" s="7" t="n">
        <f aca="false">D42/D43</f>
        <v>0.47801789167251</v>
      </c>
      <c r="F46" s="2" t="s">
        <v>41</v>
      </c>
    </row>
    <row r="48" customFormat="false" ht="15" hidden="false" customHeight="false" outlineLevel="0" collapsed="false">
      <c r="A48" s="10" t="s">
        <v>25</v>
      </c>
    </row>
    <row r="49" customFormat="false" ht="15" hidden="false" customHeight="false" outlineLevel="0" collapsed="false">
      <c r="A49" s="2" t="s">
        <v>51</v>
      </c>
    </row>
    <row r="50" customFormat="false" ht="15" hidden="false" customHeight="false" outlineLevel="0" collapsed="false">
      <c r="A50" s="2" t="s">
        <v>52</v>
      </c>
    </row>
    <row r="51" customFormat="false" ht="15" hidden="false" customHeight="false" outlineLevel="0" collapsed="false">
      <c r="A51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4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55</v>
      </c>
    </row>
    <row r="5" customFormat="false" ht="15" hidden="false" customHeight="false" outlineLevel="0" collapsed="false">
      <c r="A5" s="4"/>
      <c r="B5" s="4" t="s">
        <v>3</v>
      </c>
      <c r="C5" s="4" t="s">
        <v>4</v>
      </c>
      <c r="D5" s="4" t="s">
        <v>5</v>
      </c>
      <c r="E5" s="4"/>
      <c r="F5" s="4" t="s">
        <v>6</v>
      </c>
    </row>
    <row r="6" customFormat="false" ht="15" hidden="false" customHeight="false" outlineLevel="0" collapsed="false">
      <c r="A6" s="5" t="s">
        <v>56</v>
      </c>
      <c r="B6" s="6" t="n">
        <v>9542</v>
      </c>
      <c r="C6" s="6" t="n">
        <v>10714</v>
      </c>
      <c r="D6" s="6" t="n">
        <v>10631</v>
      </c>
      <c r="F6" s="2" t="s">
        <v>8</v>
      </c>
    </row>
    <row r="7" customFormat="false" ht="15" hidden="false" customHeight="false" outlineLevel="0" collapsed="false">
      <c r="A7" s="5" t="s">
        <v>57</v>
      </c>
      <c r="B7" s="6" t="n">
        <v>1260</v>
      </c>
      <c r="C7" s="6" t="n">
        <v>1128</v>
      </c>
      <c r="D7" s="6" t="n">
        <v>1075</v>
      </c>
      <c r="F7" s="2" t="s">
        <v>58</v>
      </c>
    </row>
    <row r="8" customFormat="false" ht="15" hidden="false" customHeight="false" outlineLevel="0" collapsed="false">
      <c r="A8" s="5" t="s">
        <v>59</v>
      </c>
      <c r="B8" s="12" t="n">
        <f aca="false">B16+B7</f>
        <v>13601</v>
      </c>
      <c r="C8" s="12" t="n">
        <f aca="false">C16+C7</f>
        <v>12439</v>
      </c>
      <c r="D8" s="12" t="n">
        <f aca="false">D16+D7</f>
        <v>11067</v>
      </c>
      <c r="F8" s="2" t="s">
        <v>60</v>
      </c>
    </row>
    <row r="9" customFormat="false" ht="15" hidden="false" customHeight="false" outlineLevel="0" collapsed="false">
      <c r="A9" s="5"/>
      <c r="F9" s="2"/>
    </row>
    <row r="10" customFormat="false" ht="15" hidden="false" customHeight="false" outlineLevel="0" collapsed="false">
      <c r="A10" s="5" t="s">
        <v>61</v>
      </c>
      <c r="B10" s="6" t="n">
        <v>11018</v>
      </c>
      <c r="C10" s="6" t="n">
        <v>11599</v>
      </c>
      <c r="D10" s="6" t="n">
        <v>6805</v>
      </c>
      <c r="F10" s="2" t="s">
        <v>58</v>
      </c>
    </row>
    <row r="11" customFormat="false" ht="15" hidden="false" customHeight="false" outlineLevel="0" collapsed="false">
      <c r="A11" s="5" t="s">
        <v>62</v>
      </c>
      <c r="B11" s="6" t="n">
        <v>1484</v>
      </c>
      <c r="C11" s="6" t="n">
        <v>1852</v>
      </c>
      <c r="D11" s="6" t="n">
        <v>2064</v>
      </c>
      <c r="F11" s="2" t="s">
        <v>58</v>
      </c>
    </row>
    <row r="12" customFormat="false" ht="15" hidden="false" customHeight="false" outlineLevel="0" collapsed="false">
      <c r="A12" s="9" t="s">
        <v>63</v>
      </c>
      <c r="B12" s="11" t="n">
        <f aca="false">B10-B11</f>
        <v>9534</v>
      </c>
      <c r="C12" s="11" t="n">
        <f aca="false">C10-C11</f>
        <v>9747</v>
      </c>
      <c r="D12" s="11" t="n">
        <f aca="false">D10-D11</f>
        <v>4741</v>
      </c>
      <c r="F12" s="2" t="s">
        <v>41</v>
      </c>
    </row>
    <row r="13" customFormat="false" ht="15" hidden="false" customHeight="false" outlineLevel="0" collapsed="false">
      <c r="A13" s="5" t="s">
        <v>64</v>
      </c>
      <c r="B13" s="6" t="n">
        <v>0</v>
      </c>
      <c r="C13" s="6" t="n">
        <v>0</v>
      </c>
      <c r="D13" s="6" t="n">
        <v>6000</v>
      </c>
      <c r="F13" s="2" t="s">
        <v>65</v>
      </c>
    </row>
    <row r="14" customFormat="false" ht="15" hidden="false" customHeight="false" outlineLevel="0" collapsed="false">
      <c r="A14" s="9" t="s">
        <v>66</v>
      </c>
      <c r="B14" s="12" t="n">
        <f aca="false">B12+B13</f>
        <v>9534</v>
      </c>
      <c r="C14" s="12" t="n">
        <f aca="false">C12+C13</f>
        <v>9747</v>
      </c>
      <c r="D14" s="12" t="n">
        <f aca="false">D12+D13</f>
        <v>10741</v>
      </c>
      <c r="F14" s="2" t="s">
        <v>67</v>
      </c>
    </row>
    <row r="15" customFormat="false" ht="15" hidden="false" customHeight="false" outlineLevel="0" collapsed="false">
      <c r="A15" s="5"/>
      <c r="F15" s="2"/>
    </row>
    <row r="16" customFormat="false" ht="15" hidden="false" customHeight="false" outlineLevel="0" collapsed="false">
      <c r="A16" s="5" t="s">
        <v>68</v>
      </c>
      <c r="B16" s="6" t="n">
        <v>12341</v>
      </c>
      <c r="C16" s="6" t="n">
        <v>11311</v>
      </c>
      <c r="D16" s="6" t="n">
        <v>9992</v>
      </c>
      <c r="F16" s="2" t="s">
        <v>8</v>
      </c>
    </row>
    <row r="17" customFormat="false" ht="15" hidden="false" customHeight="false" outlineLevel="0" collapsed="false">
      <c r="A17" s="5" t="s">
        <v>69</v>
      </c>
      <c r="B17" s="12" t="n">
        <f aca="false">B16+B7</f>
        <v>13601</v>
      </c>
      <c r="C17" s="12" t="n">
        <f aca="false">C16+C7</f>
        <v>12439</v>
      </c>
      <c r="D17" s="12" t="n">
        <f aca="false">D16+D7</f>
        <v>11067</v>
      </c>
      <c r="F17" s="2" t="s">
        <v>60</v>
      </c>
    </row>
    <row r="19" customFormat="false" ht="15" hidden="false" customHeight="false" outlineLevel="0" collapsed="false">
      <c r="A19" s="3" t="s">
        <v>70</v>
      </c>
    </row>
    <row r="20" customFormat="false" ht="15" hidden="false" customHeight="false" outlineLevel="0" collapsed="false">
      <c r="A20" s="4"/>
      <c r="B20" s="4" t="s">
        <v>3</v>
      </c>
      <c r="C20" s="4" t="s">
        <v>4</v>
      </c>
      <c r="D20" s="4" t="s">
        <v>5</v>
      </c>
      <c r="E20" s="4"/>
      <c r="F20" s="4" t="s">
        <v>6</v>
      </c>
    </row>
    <row r="21" customFormat="false" ht="15" hidden="false" customHeight="false" outlineLevel="0" collapsed="false">
      <c r="A21" s="5" t="s">
        <v>71</v>
      </c>
      <c r="B21" s="7" t="n">
        <f aca="false">B12/B6</f>
        <v>0.999161601341438</v>
      </c>
      <c r="C21" s="7" t="n">
        <f aca="false">C12/C6</f>
        <v>0.909744259846929</v>
      </c>
      <c r="D21" s="7" t="n">
        <f aca="false">D12/D6</f>
        <v>0.445959928510959</v>
      </c>
      <c r="F21" s="2" t="s">
        <v>41</v>
      </c>
    </row>
    <row r="22" customFormat="false" ht="15" hidden="false" customHeight="false" outlineLevel="0" collapsed="false">
      <c r="A22" s="5" t="s">
        <v>72</v>
      </c>
      <c r="B22" s="7" t="n">
        <f aca="false">B14/B6</f>
        <v>0.999161601341438</v>
      </c>
      <c r="C22" s="7" t="n">
        <f aca="false">C14/C6</f>
        <v>0.909744259846929</v>
      </c>
      <c r="D22" s="7" t="n">
        <f aca="false">D14/D6</f>
        <v>1.0103470981093</v>
      </c>
      <c r="F22" s="2" t="s">
        <v>73</v>
      </c>
    </row>
    <row r="23" customFormat="false" ht="15" hidden="false" customHeight="false" outlineLevel="0" collapsed="false">
      <c r="A23" s="5" t="s">
        <v>74</v>
      </c>
      <c r="B23" s="7" t="n">
        <f aca="false">B10/B17</f>
        <v>0.81008749356665</v>
      </c>
      <c r="C23" s="7" t="n">
        <f aca="false">C10/C17</f>
        <v>0.932470455824423</v>
      </c>
      <c r="D23" s="7" t="n">
        <f aca="false">D10/D17</f>
        <v>0.614891117737418</v>
      </c>
      <c r="F23" s="2" t="s">
        <v>41</v>
      </c>
    </row>
    <row r="24" customFormat="false" ht="15" hidden="false" customHeight="false" outlineLevel="0" collapsed="false">
      <c r="A24" s="5"/>
      <c r="F24" s="2"/>
    </row>
    <row r="25" customFormat="false" ht="15" hidden="false" customHeight="false" outlineLevel="0" collapsed="false">
      <c r="A25" s="5" t="s">
        <v>75</v>
      </c>
      <c r="B25" s="7" t="n">
        <f aca="false">B11/B28</f>
        <v>0.034508417821598</v>
      </c>
      <c r="C25" s="7" t="n">
        <f aca="false">C11/C28</f>
        <v>0.0404773353149451</v>
      </c>
      <c r="D25" s="7" t="n">
        <f aca="false">D11/D28</f>
        <v>0.0438579715688149</v>
      </c>
      <c r="F25" s="2" t="s">
        <v>76</v>
      </c>
    </row>
    <row r="26" customFormat="false" ht="15" hidden="false" customHeight="false" outlineLevel="0" collapsed="false">
      <c r="A26" s="5" t="s">
        <v>77</v>
      </c>
      <c r="B26" s="13" t="n">
        <f aca="false">B11/B7</f>
        <v>1.17777777777778</v>
      </c>
      <c r="C26" s="13" t="n">
        <f aca="false">C11/C7</f>
        <v>1.64184397163121</v>
      </c>
      <c r="D26" s="13" t="n">
        <f aca="false">D11/D7</f>
        <v>1.92</v>
      </c>
      <c r="F26" s="2" t="s">
        <v>78</v>
      </c>
    </row>
    <row r="27" customFormat="false" ht="15" hidden="false" customHeight="false" outlineLevel="0" collapsed="false">
      <c r="A27" s="5"/>
      <c r="F27" s="2"/>
    </row>
    <row r="28" customFormat="false" ht="15" hidden="false" customHeight="false" outlineLevel="0" collapsed="false">
      <c r="A28" s="5" t="s">
        <v>79</v>
      </c>
      <c r="B28" s="14" t="n">
        <f aca="false">'Revenue Quality'!B6</f>
        <v>43004</v>
      </c>
      <c r="C28" s="14" t="n">
        <f aca="false">'Revenue Quality'!C6</f>
        <v>45754</v>
      </c>
      <c r="D28" s="14" t="n">
        <f aca="false">'Revenue Quality'!D6</f>
        <v>47061</v>
      </c>
      <c r="F28" s="2" t="s">
        <v>80</v>
      </c>
    </row>
    <row r="30" customFormat="false" ht="15" hidden="false" customHeight="false" outlineLevel="0" collapsed="false">
      <c r="A30" s="3" t="s">
        <v>81</v>
      </c>
    </row>
    <row r="31" customFormat="false" ht="15" hidden="false" customHeight="false" outlineLevel="0" collapsed="false">
      <c r="A31" s="4"/>
      <c r="B31" s="4" t="s">
        <v>3</v>
      </c>
      <c r="C31" s="4" t="s">
        <v>4</v>
      </c>
      <c r="D31" s="4" t="s">
        <v>5</v>
      </c>
      <c r="E31" s="4"/>
      <c r="F31" s="4" t="s">
        <v>6</v>
      </c>
    </row>
    <row r="32" customFormat="false" ht="15" hidden="false" customHeight="false" outlineLevel="0" collapsed="false">
      <c r="A32" s="5" t="s">
        <v>82</v>
      </c>
      <c r="B32" s="6" t="n">
        <v>7616</v>
      </c>
      <c r="C32" s="6" t="n">
        <v>8018</v>
      </c>
      <c r="D32" s="6" t="n">
        <v>8366</v>
      </c>
      <c r="F32" s="2" t="s">
        <v>58</v>
      </c>
    </row>
    <row r="33" customFormat="false" ht="15" hidden="false" customHeight="false" outlineLevel="0" collapsed="false">
      <c r="A33" s="5" t="s">
        <v>83</v>
      </c>
      <c r="B33" s="6" t="n">
        <v>1418</v>
      </c>
      <c r="C33" s="6" t="n">
        <v>2289</v>
      </c>
      <c r="D33" s="6" t="n">
        <v>1795</v>
      </c>
      <c r="F33" s="2" t="s">
        <v>58</v>
      </c>
    </row>
    <row r="34" customFormat="false" ht="15" hidden="false" customHeight="false" outlineLevel="0" collapsed="false">
      <c r="A34" s="9" t="s">
        <v>84</v>
      </c>
      <c r="B34" s="11" t="n">
        <f aca="false">B32+B33</f>
        <v>9034</v>
      </c>
      <c r="C34" s="11" t="n">
        <f aca="false">C32+C33</f>
        <v>10307</v>
      </c>
      <c r="D34" s="11" t="n">
        <f aca="false">D32+D33</f>
        <v>10161</v>
      </c>
      <c r="F34" s="2" t="s">
        <v>48</v>
      </c>
    </row>
    <row r="35" customFormat="false" ht="15" hidden="false" customHeight="false" outlineLevel="0" collapsed="false">
      <c r="A35" s="5" t="s">
        <v>62</v>
      </c>
      <c r="B35" s="6" t="n">
        <v>1484</v>
      </c>
      <c r="C35" s="6" t="n">
        <v>1852</v>
      </c>
      <c r="D35" s="6" t="n">
        <v>2064</v>
      </c>
      <c r="F35" s="2" t="s">
        <v>58</v>
      </c>
    </row>
    <row r="36" customFormat="false" ht="15" hidden="false" customHeight="false" outlineLevel="0" collapsed="false">
      <c r="A36" s="5" t="s">
        <v>85</v>
      </c>
      <c r="B36" s="6" t="n">
        <v>107</v>
      </c>
      <c r="C36" s="6" t="n">
        <v>4766</v>
      </c>
      <c r="D36" s="6" t="n">
        <v>48</v>
      </c>
      <c r="F36" s="2" t="s">
        <v>58</v>
      </c>
    </row>
    <row r="37" customFormat="false" ht="15" hidden="false" customHeight="false" outlineLevel="0" collapsed="false">
      <c r="A37" s="9" t="s">
        <v>86</v>
      </c>
      <c r="B37" s="12" t="n">
        <f aca="false">B35+B36</f>
        <v>1591</v>
      </c>
      <c r="C37" s="12" t="n">
        <f aca="false">C35+C36</f>
        <v>6618</v>
      </c>
      <c r="D37" s="12" t="n">
        <f aca="false">D35+D36</f>
        <v>2112</v>
      </c>
      <c r="F37" s="2" t="s">
        <v>48</v>
      </c>
    </row>
    <row r="38" customFormat="false" ht="15" hidden="false" customHeight="false" outlineLevel="0" collapsed="false">
      <c r="A38" s="5"/>
      <c r="F38" s="2"/>
    </row>
    <row r="39" customFormat="false" ht="15" hidden="false" customHeight="false" outlineLevel="0" collapsed="false">
      <c r="A39" s="5" t="s">
        <v>87</v>
      </c>
      <c r="B39" s="7" t="n">
        <f aca="false">B34/B10</f>
        <v>0.819931021964059</v>
      </c>
      <c r="C39" s="7" t="n">
        <f aca="false">C34/C10</f>
        <v>0.888611087162686</v>
      </c>
      <c r="D39" s="7" t="n">
        <f aca="false">D34/D10</f>
        <v>1.49316678912564</v>
      </c>
      <c r="F39" s="2" t="s">
        <v>41</v>
      </c>
    </row>
    <row r="40" customFormat="false" ht="15" hidden="false" customHeight="false" outlineLevel="0" collapsed="false">
      <c r="A40" s="5" t="s">
        <v>88</v>
      </c>
      <c r="B40" s="7" t="n">
        <f aca="false">B34/B14</f>
        <v>0.947556114956996</v>
      </c>
      <c r="C40" s="7" t="n">
        <f aca="false">C34/C14</f>
        <v>1.05745357545912</v>
      </c>
      <c r="D40" s="7" t="n">
        <f aca="false">D34/D14</f>
        <v>0.946001303416814</v>
      </c>
      <c r="F40" s="2" t="s">
        <v>41</v>
      </c>
    </row>
    <row r="41" customFormat="false" ht="15" hidden="false" customHeight="false" outlineLevel="0" collapsed="false">
      <c r="A41" s="5" t="s">
        <v>89</v>
      </c>
      <c r="B41" s="7" t="n">
        <f aca="false">B32/B6</f>
        <v>0.798155522951163</v>
      </c>
      <c r="C41" s="7" t="n">
        <f aca="false">C32/C6</f>
        <v>0.74836662310995</v>
      </c>
      <c r="D41" s="7" t="n">
        <f aca="false">D32/D6</f>
        <v>0.786943843476625</v>
      </c>
      <c r="F41" s="2" t="s">
        <v>41</v>
      </c>
    </row>
    <row r="43" customFormat="false" ht="15" hidden="false" customHeight="false" outlineLevel="0" collapsed="false">
      <c r="A43" s="3" t="s">
        <v>90</v>
      </c>
    </row>
    <row r="44" customFormat="false" ht="15" hidden="false" customHeight="false" outlineLevel="0" collapsed="false">
      <c r="A44" s="4"/>
      <c r="B44" s="4" t="s">
        <v>3</v>
      </c>
      <c r="C44" s="4" t="s">
        <v>4</v>
      </c>
      <c r="D44" s="4" t="s">
        <v>5</v>
      </c>
      <c r="E44" s="4"/>
      <c r="F44" s="4" t="s">
        <v>6</v>
      </c>
    </row>
    <row r="45" customFormat="false" ht="15" hidden="false" customHeight="false" outlineLevel="0" collapsed="false">
      <c r="A45" s="5" t="s">
        <v>91</v>
      </c>
      <c r="B45" s="6" t="n">
        <v>3487</v>
      </c>
      <c r="C45" s="6" t="n">
        <v>3410</v>
      </c>
      <c r="D45" s="6" t="n">
        <v>3680</v>
      </c>
      <c r="F45" s="2" t="s">
        <v>92</v>
      </c>
    </row>
    <row r="46" customFormat="false" ht="15" hidden="false" customHeight="false" outlineLevel="0" collapsed="false">
      <c r="A46" s="5" t="s">
        <v>93</v>
      </c>
      <c r="B46" s="6" t="n">
        <v>4233</v>
      </c>
      <c r="C46" s="6" t="n">
        <v>3878</v>
      </c>
      <c r="D46" s="6" t="n">
        <v>3844</v>
      </c>
      <c r="F46" s="2" t="s">
        <v>92</v>
      </c>
    </row>
    <row r="47" customFormat="false" ht="15" hidden="false" customHeight="false" outlineLevel="0" collapsed="false">
      <c r="A47" s="5" t="s">
        <v>94</v>
      </c>
      <c r="B47" s="6" t="n">
        <v>7955</v>
      </c>
      <c r="C47" s="6" t="n">
        <v>7526</v>
      </c>
      <c r="D47" s="6" t="n">
        <v>7710</v>
      </c>
      <c r="F47" s="2" t="s">
        <v>95</v>
      </c>
    </row>
    <row r="48" customFormat="false" ht="15" hidden="false" customHeight="false" outlineLevel="0" collapsed="false">
      <c r="A48" s="5" t="s">
        <v>96</v>
      </c>
      <c r="B48" s="6" t="n">
        <v>18000</v>
      </c>
      <c r="C48" s="6" t="n">
        <v>18520</v>
      </c>
      <c r="D48" s="6" t="n">
        <v>18324</v>
      </c>
      <c r="F48" s="2" t="s">
        <v>8</v>
      </c>
    </row>
    <row r="49" customFormat="false" ht="15" hidden="false" customHeight="false" outlineLevel="0" collapsed="false">
      <c r="A49" s="5" t="s">
        <v>97</v>
      </c>
      <c r="B49" s="6" t="n">
        <v>43004</v>
      </c>
      <c r="C49" s="6" t="n">
        <v>45754</v>
      </c>
      <c r="D49" s="6" t="n">
        <v>47061</v>
      </c>
      <c r="F49" s="2" t="s">
        <v>8</v>
      </c>
    </row>
    <row r="50" customFormat="false" ht="15" hidden="false" customHeight="false" outlineLevel="0" collapsed="false">
      <c r="A50" s="5"/>
      <c r="F50" s="2"/>
    </row>
    <row r="51" customFormat="false" ht="15" hidden="false" customHeight="false" outlineLevel="0" collapsed="false">
      <c r="A51" s="5" t="s">
        <v>98</v>
      </c>
      <c r="B51" s="15" t="n">
        <f aca="false">B45/B49*365</f>
        <v>29.5962003534555</v>
      </c>
      <c r="C51" s="15" t="n">
        <f aca="false">C45/C49*365</f>
        <v>27.2030860689776</v>
      </c>
      <c r="D51" s="15" t="n">
        <f aca="false">D45/D49*365</f>
        <v>28.5416799473024</v>
      </c>
      <c r="F51" s="2" t="s">
        <v>99</v>
      </c>
    </row>
    <row r="52" customFormat="false" ht="15" hidden="false" customHeight="false" outlineLevel="0" collapsed="false">
      <c r="A52" s="5" t="s">
        <v>100</v>
      </c>
      <c r="B52" s="15" t="n">
        <f aca="false">B46/B48*365</f>
        <v>85.8358333333333</v>
      </c>
      <c r="C52" s="15" t="n">
        <f aca="false">C46/C48*365</f>
        <v>76.4292656587473</v>
      </c>
      <c r="D52" s="15" t="n">
        <f aca="false">D46/D48*365</f>
        <v>76.5695263043004</v>
      </c>
      <c r="F52" s="2" t="s">
        <v>101</v>
      </c>
    </row>
    <row r="53" customFormat="false" ht="15" hidden="false" customHeight="false" outlineLevel="0" collapsed="false">
      <c r="A53" s="5" t="s">
        <v>102</v>
      </c>
      <c r="B53" s="15" t="n">
        <f aca="false">B47/B48*365</f>
        <v>161.309722222222</v>
      </c>
      <c r="C53" s="15" t="n">
        <f aca="false">C47/C48*365</f>
        <v>148.325593952484</v>
      </c>
      <c r="D53" s="15" t="n">
        <f aca="false">D47/D48*365</f>
        <v>153.577275703995</v>
      </c>
      <c r="F53" s="2" t="s">
        <v>103</v>
      </c>
    </row>
    <row r="54" customFormat="false" ht="15" hidden="false" customHeight="false" outlineLevel="0" collapsed="false">
      <c r="A54" s="9" t="s">
        <v>104</v>
      </c>
      <c r="B54" s="16" t="n">
        <f aca="false">B51+B52-B53</f>
        <v>-45.8776885354334</v>
      </c>
      <c r="C54" s="16" t="n">
        <f aca="false">C51+C52-C53</f>
        <v>-44.6932422247589</v>
      </c>
      <c r="D54" s="16" t="n">
        <f aca="false">D51+D52-D53</f>
        <v>-48.466069452392</v>
      </c>
      <c r="F54" s="2" t="s">
        <v>105</v>
      </c>
    </row>
    <row r="56" customFormat="false" ht="15" hidden="false" customHeight="false" outlineLevel="0" collapsed="false">
      <c r="A56" s="10" t="s">
        <v>106</v>
      </c>
    </row>
    <row r="57" customFormat="false" ht="15" hidden="false" customHeight="false" outlineLevel="0" collapsed="false">
      <c r="A57" s="2" t="s">
        <v>107</v>
      </c>
    </row>
    <row r="58" customFormat="false" ht="15" hidden="false" customHeight="false" outlineLevel="0" collapsed="false">
      <c r="A58" s="2" t="s">
        <v>108</v>
      </c>
    </row>
    <row r="59" customFormat="false" ht="15" hidden="false" customHeight="false" outlineLevel="0" collapsed="false">
      <c r="A59" s="2" t="s">
        <v>109</v>
      </c>
    </row>
    <row r="60" customFormat="false" ht="15" hidden="false" customHeight="false" outlineLevel="0" collapsed="false">
      <c r="A60" s="2" t="s">
        <v>110</v>
      </c>
    </row>
    <row r="61" customFormat="false" ht="15" hidden="false" customHeight="false" outlineLevel="0" collapsed="false">
      <c r="A61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8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3" t="s">
        <v>114</v>
      </c>
    </row>
    <row r="5" customFormat="false" ht="15" hidden="false" customHeight="false" outlineLevel="0" collapsed="false">
      <c r="A5" s="4"/>
      <c r="B5" s="4" t="s">
        <v>115</v>
      </c>
      <c r="C5" s="4"/>
      <c r="D5" s="4" t="s">
        <v>6</v>
      </c>
    </row>
    <row r="6" customFormat="false" ht="15" hidden="false" customHeight="false" outlineLevel="0" collapsed="false">
      <c r="A6" s="5" t="s">
        <v>116</v>
      </c>
      <c r="B6" s="17" t="n">
        <v>62.17</v>
      </c>
      <c r="D6" s="2" t="s">
        <v>117</v>
      </c>
    </row>
    <row r="7" customFormat="false" ht="15" hidden="false" customHeight="false" outlineLevel="0" collapsed="false">
      <c r="A7" s="5" t="s">
        <v>118</v>
      </c>
      <c r="B7" s="6" t="n">
        <v>4320</v>
      </c>
      <c r="D7" s="2" t="s">
        <v>119</v>
      </c>
    </row>
    <row r="8" customFormat="false" ht="15" hidden="false" customHeight="false" outlineLevel="0" collapsed="false">
      <c r="A8" s="9" t="s">
        <v>120</v>
      </c>
      <c r="B8" s="11" t="n">
        <f aca="false">B6*B7</f>
        <v>268574.4</v>
      </c>
      <c r="D8" s="2" t="s">
        <v>121</v>
      </c>
    </row>
    <row r="9" customFormat="false" ht="15" hidden="false" customHeight="false" outlineLevel="0" collapsed="false">
      <c r="A9" s="5"/>
      <c r="D9" s="2"/>
    </row>
    <row r="10" customFormat="false" ht="15" hidden="false" customHeight="false" outlineLevel="0" collapsed="false">
      <c r="A10" s="5" t="s">
        <v>122</v>
      </c>
      <c r="B10" s="6" t="n">
        <v>42064</v>
      </c>
      <c r="D10" s="2" t="s">
        <v>123</v>
      </c>
    </row>
    <row r="11" customFormat="false" ht="15" hidden="false" customHeight="false" outlineLevel="0" collapsed="false">
      <c r="A11" s="5" t="s">
        <v>124</v>
      </c>
      <c r="B11" s="6" t="n">
        <v>1539</v>
      </c>
      <c r="D11" s="2" t="s">
        <v>125</v>
      </c>
    </row>
    <row r="12" customFormat="false" ht="15" hidden="false" customHeight="false" outlineLevel="0" collapsed="false">
      <c r="A12" s="5" t="s">
        <v>126</v>
      </c>
      <c r="B12" s="6" t="n">
        <v>10828</v>
      </c>
      <c r="D12" s="2" t="s">
        <v>123</v>
      </c>
    </row>
    <row r="13" customFormat="false" ht="15" hidden="false" customHeight="false" outlineLevel="0" collapsed="false">
      <c r="A13" s="5" t="s">
        <v>127</v>
      </c>
      <c r="B13" s="6" t="n">
        <v>3304</v>
      </c>
      <c r="D13" s="2" t="s">
        <v>128</v>
      </c>
    </row>
    <row r="14" customFormat="false" ht="15" hidden="false" customHeight="false" outlineLevel="0" collapsed="false">
      <c r="A14" s="9" t="s">
        <v>129</v>
      </c>
      <c r="B14" s="11" t="n">
        <f aca="false">B8+B10+B11-B12-B13</f>
        <v>298045.4</v>
      </c>
      <c r="D14" s="2" t="s">
        <v>130</v>
      </c>
    </row>
    <row r="16" customFormat="false" ht="15" hidden="false" customHeight="false" outlineLevel="0" collapsed="false">
      <c r="A16" s="10" t="s">
        <v>131</v>
      </c>
    </row>
    <row r="17" customFormat="false" ht="15" hidden="false" customHeight="false" outlineLevel="0" collapsed="false">
      <c r="A17" s="2" t="s">
        <v>132</v>
      </c>
    </row>
    <row r="18" customFormat="false" ht="15" hidden="false" customHeight="false" outlineLevel="0" collapsed="false">
      <c r="A18" s="2" t="s">
        <v>133</v>
      </c>
    </row>
    <row r="19" customFormat="false" ht="15" hidden="false" customHeight="false" outlineLevel="0" collapsed="false">
      <c r="A19" s="2" t="s">
        <v>134</v>
      </c>
    </row>
    <row r="21" customFormat="false" ht="15" hidden="false" customHeight="false" outlineLevel="0" collapsed="false">
      <c r="A21" s="3" t="s">
        <v>135</v>
      </c>
    </row>
    <row r="22" customFormat="false" ht="15" hidden="false" customHeight="false" outlineLevel="0" collapsed="false">
      <c r="A22" s="4" t="s">
        <v>136</v>
      </c>
      <c r="B22" s="4" t="s">
        <v>115</v>
      </c>
      <c r="C22" s="4"/>
      <c r="D22" s="4" t="s">
        <v>137</v>
      </c>
    </row>
    <row r="23" customFormat="false" ht="15" hidden="false" customHeight="false" outlineLevel="0" collapsed="false">
      <c r="A23" s="5" t="s">
        <v>138</v>
      </c>
      <c r="B23" s="13" t="n">
        <f aca="false">B14/'Cash Economics'!D17</f>
        <v>26.9310020782507</v>
      </c>
      <c r="C23" s="2"/>
      <c r="D23" s="2" t="s">
        <v>139</v>
      </c>
    </row>
    <row r="24" customFormat="false" ht="15" hidden="false" customHeight="false" outlineLevel="0" collapsed="false">
      <c r="A24" s="5" t="s">
        <v>140</v>
      </c>
      <c r="B24" s="13" t="n">
        <f aca="false">B14/'Cash Economics'!D16</f>
        <v>29.8284027221777</v>
      </c>
      <c r="D24" s="2" t="s">
        <v>141</v>
      </c>
    </row>
    <row r="25" customFormat="false" ht="15" hidden="false" customHeight="false" outlineLevel="0" collapsed="false">
      <c r="A25" s="5" t="s">
        <v>142</v>
      </c>
      <c r="B25" s="13" t="n">
        <f aca="false">B8/'Cash Economics'!D6</f>
        <v>25.2633242404289</v>
      </c>
      <c r="D25" s="2" t="s">
        <v>143</v>
      </c>
    </row>
    <row r="26" customFormat="false" ht="15" hidden="false" customHeight="false" outlineLevel="0" collapsed="false">
      <c r="A26" s="5" t="s">
        <v>144</v>
      </c>
      <c r="B26" s="13" t="n">
        <f aca="false">B6/2.88</f>
        <v>21.5868055555556</v>
      </c>
      <c r="D26" s="2" t="s">
        <v>145</v>
      </c>
    </row>
    <row r="27" customFormat="false" ht="15" hidden="false" customHeight="false" outlineLevel="0" collapsed="false">
      <c r="A27" s="5" t="s">
        <v>146</v>
      </c>
      <c r="B27" s="7" t="n">
        <f aca="false">'Cash Economics'!D14/B8</f>
        <v>0.0399926426345921</v>
      </c>
      <c r="D27" s="2" t="s">
        <v>147</v>
      </c>
    </row>
    <row r="28" customFormat="false" ht="15" hidden="false" customHeight="false" outlineLevel="0" collapsed="false">
      <c r="A28" s="5" t="s">
        <v>148</v>
      </c>
      <c r="B28" s="7" t="n">
        <f aca="false">1.94/B6</f>
        <v>0.0312047611388129</v>
      </c>
      <c r="D28" s="2" t="s">
        <v>149</v>
      </c>
    </row>
    <row r="30" customFormat="false" ht="15" hidden="false" customHeight="false" outlineLevel="0" collapsed="false">
      <c r="A30" s="10" t="s">
        <v>150</v>
      </c>
    </row>
    <row r="31" customFormat="false" ht="15" hidden="false" customHeight="false" outlineLevel="0" collapsed="false">
      <c r="A31" s="2" t="s">
        <v>151</v>
      </c>
    </row>
    <row r="32" customFormat="false" ht="15" hidden="false" customHeight="false" outlineLevel="0" collapsed="false">
      <c r="A32" s="2" t="s">
        <v>152</v>
      </c>
    </row>
    <row r="33" customFormat="false" ht="15" hidden="false" customHeight="false" outlineLevel="0" collapsed="false">
      <c r="A33" s="2" t="s">
        <v>153</v>
      </c>
    </row>
    <row r="35" customFormat="false" ht="15" hidden="false" customHeight="false" outlineLevel="0" collapsed="false">
      <c r="A35" s="3" t="s">
        <v>154</v>
      </c>
    </row>
    <row r="36" customFormat="false" ht="15" hidden="false" customHeight="false" outlineLevel="0" collapsed="false">
      <c r="A36" s="4"/>
      <c r="B36" s="4" t="s">
        <v>155</v>
      </c>
      <c r="C36" s="4" t="s">
        <v>156</v>
      </c>
      <c r="D36" s="4" t="s">
        <v>157</v>
      </c>
      <c r="E36" s="4" t="s">
        <v>158</v>
      </c>
    </row>
    <row r="37" customFormat="false" ht="15" hidden="false" customHeight="false" outlineLevel="0" collapsed="false">
      <c r="A37" s="5" t="s">
        <v>159</v>
      </c>
      <c r="B37" s="17" t="n">
        <v>59.21</v>
      </c>
      <c r="C37" s="17" t="n">
        <v>58.93</v>
      </c>
      <c r="D37" s="17" t="n">
        <v>62.17</v>
      </c>
      <c r="E37" s="2" t="s">
        <v>160</v>
      </c>
    </row>
    <row r="38" customFormat="false" ht="15" hidden="false" customHeight="false" outlineLevel="0" collapsed="false">
      <c r="A38" s="5" t="s">
        <v>161</v>
      </c>
      <c r="B38" s="17" t="n">
        <v>173.73</v>
      </c>
      <c r="C38" s="17" t="n">
        <v>169.52</v>
      </c>
      <c r="D38" s="17" t="n">
        <v>151.99</v>
      </c>
      <c r="E38" s="2" t="s">
        <v>160</v>
      </c>
    </row>
    <row r="39" customFormat="false" ht="15" hidden="false" customHeight="false" outlineLevel="0" collapsed="false">
      <c r="A39" s="5" t="s">
        <v>162</v>
      </c>
      <c r="B39" s="17" t="n">
        <v>474.96</v>
      </c>
      <c r="C39" s="17" t="n">
        <v>473.54</v>
      </c>
      <c r="D39" s="17" t="n">
        <v>592.3</v>
      </c>
      <c r="E39" s="2" t="s">
        <v>163</v>
      </c>
    </row>
    <row r="41" customFormat="false" ht="23.85" hidden="false" customHeight="false" outlineLevel="0" collapsed="false">
      <c r="A41" s="4"/>
      <c r="B41" s="4" t="s">
        <v>164</v>
      </c>
      <c r="C41" s="4" t="s">
        <v>165</v>
      </c>
      <c r="D41" s="4"/>
      <c r="E41" s="4" t="s">
        <v>166</v>
      </c>
    </row>
    <row r="42" customFormat="false" ht="15" hidden="false" customHeight="false" outlineLevel="0" collapsed="false">
      <c r="A42" s="5" t="s">
        <v>167</v>
      </c>
      <c r="B42" s="7" t="n">
        <f aca="false">(D37-B37)/B37</f>
        <v>0.0499915554804932</v>
      </c>
      <c r="C42" s="7" t="n">
        <f aca="false">(D37-C37)/C37</f>
        <v>0.054980485321568</v>
      </c>
      <c r="E42" s="2" t="s">
        <v>168</v>
      </c>
    </row>
    <row r="43" customFormat="false" ht="15" hidden="false" customHeight="false" outlineLevel="0" collapsed="false">
      <c r="A43" s="5" t="s">
        <v>169</v>
      </c>
      <c r="B43" s="7" t="n">
        <f aca="false">(D38-B38)/B38</f>
        <v>-0.125136706383469</v>
      </c>
      <c r="C43" s="7" t="n">
        <f aca="false">(D38-C38)/C38</f>
        <v>-0.103409627182633</v>
      </c>
      <c r="E43" s="2" t="s">
        <v>168</v>
      </c>
    </row>
    <row r="44" customFormat="false" ht="15" hidden="false" customHeight="false" outlineLevel="0" collapsed="false">
      <c r="A44" s="5" t="s">
        <v>170</v>
      </c>
      <c r="B44" s="7" t="n">
        <f aca="false">(D39-B39)/B39</f>
        <v>0.247052383358599</v>
      </c>
      <c r="C44" s="7" t="n">
        <f aca="false">(D39-C39)/C39</f>
        <v>0.250791907758584</v>
      </c>
      <c r="E44" s="2" t="s">
        <v>168</v>
      </c>
    </row>
    <row r="45" customFormat="false" ht="15" hidden="false" customHeight="false" outlineLevel="0" collapsed="false">
      <c r="A45" s="5"/>
      <c r="E45" s="2"/>
    </row>
    <row r="46" customFormat="false" ht="15" hidden="false" customHeight="false" outlineLevel="0" collapsed="false">
      <c r="A46" s="5" t="s">
        <v>171</v>
      </c>
      <c r="B46" s="7" t="n">
        <f aca="false">B42-B44</f>
        <v>-0.197060827878105</v>
      </c>
      <c r="C46" s="7" t="n">
        <f aca="false">C42-C44</f>
        <v>-0.195811422437016</v>
      </c>
      <c r="E46" s="2" t="s">
        <v>172</v>
      </c>
    </row>
    <row r="47" customFormat="false" ht="15" hidden="false" customHeight="false" outlineLevel="0" collapsed="false">
      <c r="A47" s="5" t="s">
        <v>173</v>
      </c>
      <c r="B47" s="7" t="n">
        <f aca="false">B42-B43</f>
        <v>0.175128261863962</v>
      </c>
      <c r="C47" s="7" t="n">
        <f aca="false">C42-C43</f>
        <v>0.158390112504201</v>
      </c>
      <c r="E47" s="2" t="s">
        <v>174</v>
      </c>
    </row>
    <row r="49" customFormat="false" ht="15" hidden="false" customHeight="false" outlineLevel="0" collapsed="false">
      <c r="A49" s="10" t="s">
        <v>175</v>
      </c>
    </row>
    <row r="50" customFormat="false" ht="15" hidden="false" customHeight="false" outlineLevel="0" collapsed="false">
      <c r="A50" s="2" t="s">
        <v>176</v>
      </c>
    </row>
    <row r="51" customFormat="false" ht="15" hidden="false" customHeight="false" outlineLevel="0" collapsed="false">
      <c r="A51" s="2" t="s">
        <v>177</v>
      </c>
    </row>
    <row r="52" customFormat="false" ht="15" hidden="false" customHeight="false" outlineLevel="0" collapsed="false">
      <c r="A52" s="2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2026-02-14T09:28:56Z</dcterms:created>
  <dc:creator>openpyxl</dc:creator>
  <dc:description/>
  <dc:language>en-US</dc:language>
  <cp:lastModifiedBy/>
  <dcterms:modified xsi:type="dcterms:W3CDTF">2026-02-14T09:28:56Z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