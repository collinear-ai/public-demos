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enue Quality" sheetId="1" r:id="rId5"/>
    <sheet state="visible" name="Cash Economics" sheetId="2" r:id="rId6"/>
    <sheet state="visible" name="Valuation Context" sheetId="3" r:id="rId7"/>
  </sheets>
  <definedNames/>
  <calcPr/>
</workbook>
</file>

<file path=xl/sharedStrings.xml><?xml version="1.0" encoding="utf-8"?>
<sst xmlns="http://schemas.openxmlformats.org/spreadsheetml/2006/main" count="252" uniqueCount="184">
  <si>
    <t>KO Investment Analysis — Revenue Quality</t>
  </si>
  <si>
    <t>Source: KO 10-K filings for FY ended 12/31/2022, 12/31/2023, 12/31/2024. All $ figures in millions unless noted.</t>
  </si>
  <si>
    <t>SECTION 1: VOLUME vs. PRICE/MIX DECOMPOSITION</t>
  </si>
  <si>
    <t>FY2022</t>
  </si>
  <si>
    <t>FY2023</t>
  </si>
  <si>
    <t>FY2024</t>
  </si>
  <si>
    <t>Source / Filing Reference</t>
  </si>
  <si>
    <t>Reported Net Revenue ($mm)</t>
  </si>
  <si>
    <t>10-K, Consolidated Stmt of Income, each FY</t>
  </si>
  <si>
    <t>Net Revenue Growth (YoY)</t>
  </si>
  <si>
    <t>n/a</t>
  </si>
  <si>
    <t>Calculated: (Current - Prior) / Prior</t>
  </si>
  <si>
    <t>Organic Revenue Growth (non-GAAP)</t>
  </si>
  <si>
    <t>10-K Item 7, MD&amp;A Operating Review, each FY</t>
  </si>
  <si>
    <t>Unit Case Volume Growth</t>
  </si>
  <si>
    <t>Concentrate Sales Growth</t>
  </si>
  <si>
    <t>10-K Item 7, MD&amp;A / Earnings Release revenue bridge</t>
  </si>
  <si>
    <t>Price/Mix Growth</t>
  </si>
  <si>
    <t>Currency Impact</t>
  </si>
  <si>
    <t>Structural Changes (Acq/Div)</t>
  </si>
  <si>
    <t>Price/Mix as % of Organic Growth</t>
  </si>
  <si>
    <t>Calculated: Price/Mix ÷ Organic Revenue Growth</t>
  </si>
  <si>
    <t>Volume as % of Organic Growth</t>
  </si>
  <si>
    <t>Calculated: Concentrate Sales ÷ Organic Revenue Growth</t>
  </si>
  <si>
    <t>Analyst Note: KO's organic growth has been overwhelmingly price/mix-driven (≈80-85% of organic growth). Volume growth is modest (1-2%) which is typical for a mature beverage company.</t>
  </si>
  <si>
    <t>~5pp of price/mix in FY2024 came from hyperinflationary markets (mainly Argentina). Structural changes (refranchising of bottling ops in India, Philippines, Bangladesh) are a -4pp drag in FY2024.</t>
  </si>
  <si>
    <t>Filing dates: FY2024 10-K filed 2025-02-20; FY2023 10-K filed 2024-02-20; FY2022 10-K filed 2024-02-20 (comparative year in FY2023 filing).</t>
  </si>
  <si>
    <t>SECTION 2: GEOGRAPHIC SEGMENT NET REVENUES ($mm)</t>
  </si>
  <si>
    <t>Europe, Middle East &amp; Africa</t>
  </si>
  <si>
    <t>10-K, Note 20 — Operating Segments, each FY</t>
  </si>
  <si>
    <t>Latin America</t>
  </si>
  <si>
    <t>North America</t>
  </si>
  <si>
    <t>Asia Pacific</t>
  </si>
  <si>
    <t>Global Ventures</t>
  </si>
  <si>
    <t>Bottling Investments</t>
  </si>
  <si>
    <t>Corporate &amp; Eliminations</t>
  </si>
  <si>
    <t>Total Net Revenues</t>
  </si>
  <si>
    <t>Sum of segments</t>
  </si>
  <si>
    <t>% North America</t>
  </si>
  <si>
    <t>Calculated</t>
  </si>
  <si>
    <t>% International (ex-NA)</t>
  </si>
  <si>
    <t>% Bottling Investments</t>
  </si>
  <si>
    <t>SECTION 3: CONCENTRATE vs. FINISHED PRODUCT REVENUE MIX ($mm)</t>
  </si>
  <si>
    <t>Concentrate Operations Revenue</t>
  </si>
  <si>
    <t>10-K, Note 20 — Revenue by product type, each FY</t>
  </si>
  <si>
    <t>Finished Product Operations Revenue</t>
  </si>
  <si>
    <t>Sum</t>
  </si>
  <si>
    <t>Concentrate % of Total</t>
  </si>
  <si>
    <t>Finished Product % of Total</t>
  </si>
  <si>
    <t>Analyst Note: Concentrate operations (capital-light, high-margin) have grown from ~49% to ~52% of revenue FY22→FY24, driven by refranchising of bottling ops (India, Philippines, Bangladesh in FY24).</t>
  </si>
  <si>
    <t>This structural shift toward asset-light model boosts ROIC and margins over time. Finished product revenue declined in FY24 due to the divestiture of consolidated bottling operations classified as structural changes.</t>
  </si>
  <si>
    <t>Revenue by product type sourced from Note 20 Operating Segments in each respective 10-K filing. FY2024 concentrate = 52.2%, up from 48.9% in FY2022.</t>
  </si>
  <si>
    <t>FY2024 10-K filing date: 2025-02-20 (Accession: 0000021344-25-000011). FY2023 10-K filing date: 2024-02-20 (Accession: 0000021344-24-000009).</t>
  </si>
  <si>
    <t>KO Investment Analysis — Cash Economics</t>
  </si>
  <si>
    <t>SECTION 1: PROFITABILITY TO FREE CASH FLOW BRIDGE ($mm)</t>
  </si>
  <si>
    <t>Net Income (attributable to KO)</t>
  </si>
  <si>
    <t>D&amp;A</t>
  </si>
  <si>
    <t>10-K, Consolidated Stmt of Cash Flows, each FY</t>
  </si>
  <si>
    <t>EBITDA (Operating)</t>
  </si>
  <si>
    <t>Calculated: Op Income + D&amp;A</t>
  </si>
  <si>
    <t>Cash Flow from Operations (CFO)</t>
  </si>
  <si>
    <t>Capital Expenditures</t>
  </si>
  <si>
    <t>Free Cash Flow (CFO - CapEx)</t>
  </si>
  <si>
    <t>Memo: IRS Tax Litigation Deposit</t>
  </si>
  <si>
    <t>10-K Item 7, MD&amp;A / Earnings Release FY2024</t>
  </si>
  <si>
    <t>FCF excl. IRS Deposit</t>
  </si>
  <si>
    <t>Calculated: FCF + IRS deposit</t>
  </si>
  <si>
    <t>Operating Income</t>
  </si>
  <si>
    <t>EBITDA</t>
  </si>
  <si>
    <t>SECTION 2: CASH CONVERSION &amp; CAPITAL INTENSITY METRICS</t>
  </si>
  <si>
    <t>FCF / Net Income</t>
  </si>
  <si>
    <t>FCF excl. IRS / Net Income</t>
  </si>
  <si>
    <t>Calculated — normalizes FY24 IRS deposit</t>
  </si>
  <si>
    <t>CFO / EBITDA</t>
  </si>
  <si>
    <t>CapEx / Revenue</t>
  </si>
  <si>
    <t>Calculated: CapEx ÷ Revenue (from Tab 1)</t>
  </si>
  <si>
    <t>CapEx / D&amp;A</t>
  </si>
  <si>
    <t>Calculated: investment vs. maintenance proxy</t>
  </si>
  <si>
    <t>Revenue ($mm — from Tab 1)</t>
  </si>
  <si>
    <t>Cross-sheet reference</t>
  </si>
  <si>
    <t>SECTION 3: CAPITAL ALLOCATION ($mm)</t>
  </si>
  <si>
    <t>Dividends Paid</t>
  </si>
  <si>
    <t>Share Repurchases (gross)</t>
  </si>
  <si>
    <t>Total Shareholder Returns</t>
  </si>
  <si>
    <t>Acquisitions (net)</t>
  </si>
  <si>
    <t>Total Reinvestment</t>
  </si>
  <si>
    <t>Shareholder Returns / CFO</t>
  </si>
  <si>
    <t>Shareholder Returns / FCF excl. IRS</t>
  </si>
  <si>
    <t>Dividend Payout Ratio (Div / NI)</t>
  </si>
  <si>
    <t>SECTION 4: WORKING CAPITAL &amp; CASH CONVERSION CYCLE</t>
  </si>
  <si>
    <t>Trade Accounts Receivable</t>
  </si>
  <si>
    <t>10-K, Consolidated Balance Sheet, each FY</t>
  </si>
  <si>
    <t>Inventories</t>
  </si>
  <si>
    <t>Trade Accounts Payable</t>
  </si>
  <si>
    <t>10-K, Consolidated Balance Sheet, each FY (AP + accrued liabilities)</t>
  </si>
  <si>
    <t>Cost of Goods Sold</t>
  </si>
  <si>
    <t>Net Revenue</t>
  </si>
  <si>
    <t>Days Sales Outstanding (DSO)</t>
  </si>
  <si>
    <t>Calculated: (AR / Revenue) × 365</t>
  </si>
  <si>
    <t>Days Inventory Outstanding (DIO)</t>
  </si>
  <si>
    <t>Calculated: (Inv / COGS) × 365</t>
  </si>
  <si>
    <t>Days Payable Outstanding (DPO)</t>
  </si>
  <si>
    <t>Calculated: (AP / COGS) × 365</t>
  </si>
  <si>
    <t>Cash Conversion Cycle (CCC)</t>
  </si>
  <si>
    <t>Calculated: DSO + DIO - DPO</t>
  </si>
  <si>
    <t>Analyst Notes:</t>
  </si>
  <si>
    <t>FY2024 CFO of $6.8B includes a $6.0B deposit to the IRS for ongoing tax litigation (Sec. 7481(a)). Excluding this one-time item, normalized FCF was ~$10.7B, up ~10% YoY — consistent with KO's history of strong cash generation.</t>
  </si>
  <si>
    <t>Sign convention: KO presents capex as negative on the CFS (investing activities). We show it as a positive number here and subtract it from CFO to arrive at FCF.</t>
  </si>
  <si>
    <t>Trade AP includes 'Accounts payable and accrued expenses' per KO's balance sheet presentation. This is the most comparable metric as KO bundles these line items. CCC is negative, indicating KO funds operations on supplier credit — characteristic of concentrate model.</t>
  </si>
  <si>
    <t>Filing dates: FY2024 10-K filed 2025-02-20 (Accession: 0000021344-25-000011). FY2023 10-K filed 2024-02-20 (Accession: 0000021344-24-000009).</t>
  </si>
  <si>
    <t>FY2023 acquisitions net of $4,766mm primarily reflects fairlife LLC contingent consideration payments. FY2022 and FY2024 acquisition activity was minimal.</t>
  </si>
  <si>
    <t>KO Investment Analysis — Valuation Context</t>
  </si>
  <si>
    <t>As-of 12/31/2024 close. Market data from Yahoo Finance / Twelve Data. Financials from KO 10-K FY2024 (filed 2025-02-20).</t>
  </si>
  <si>
    <t>SECTION 1: MARKET CAPITALIZATION &amp; ENTERPRISE VALUE</t>
  </si>
  <si>
    <t>Value</t>
  </si>
  <si>
    <t>Share Price (12/31/2024 close)</t>
  </si>
  <si>
    <t>62.17</t>
  </si>
  <si>
    <t>Yahoo Finance / Twelve Data — KO close 12/31/2024</t>
  </si>
  <si>
    <t>Diluted Shares Outstanding (mm)</t>
  </si>
  <si>
    <t>10-K FY2024, Consolidated Stmt of Income — diluted shares</t>
  </si>
  <si>
    <t>Market Capitalization ($mm)</t>
  </si>
  <si>
    <t>Calculated: Price × Diluted Shares</t>
  </si>
  <si>
    <t>(+) Total Debt (short + long-term)</t>
  </si>
  <si>
    <t>10-K FY2024, Consolidated Balance Sheet (loans/notes payable + current maturities LTD + LT debt)</t>
  </si>
  <si>
    <t>(+) Minority Interest (NCI)</t>
  </si>
  <si>
    <t>10-K FY2024, Consolidated Balance Sheet — NCI equity</t>
  </si>
  <si>
    <t>(-) Cash &amp; Cash Equivalents</t>
  </si>
  <si>
    <t>10-K FY2024, Consolidated Balance Sheet</t>
  </si>
  <si>
    <t>(-) Short-term Investments</t>
  </si>
  <si>
    <t>10-K FY2024, Consolidated Balance Sheet — marketable securities</t>
  </si>
  <si>
    <t>Enterprise Value ($mm)</t>
  </si>
  <si>
    <t>Calculated: Mkt Cap + Debt + NCI - Cash - ST Investments</t>
  </si>
  <si>
    <t>Net Debt Methodology: Total Debt = current portion of long-term debt + loans/notes payable + long-term debt. Cash offset includes cash &amp; equivalents plus short-term marketable securities.</t>
  </si>
  <si>
    <t>We add NCI because KO consolidates entities with minority interests. We exclude equity method investments ($19.8B) from the EV bridge as they represent ownership stakes in bottlers already captured via equity income in earnings.</t>
  </si>
  <si>
    <t>Total Debt breakdown: Loans &amp; notes payable + Current maturities of LTD + Long-term debt from FY2024 Consolidated Balance Sheet.</t>
  </si>
  <si>
    <t>SECTION 2: VALUATION MULTIPLES (as-of 12/31/2024)</t>
  </si>
  <si>
    <t>Multiple</t>
  </si>
  <si>
    <t>Rationale / Source</t>
  </si>
  <si>
    <t>EV / EBITDA (FY2024)</t>
  </si>
  <si>
    <t>Core comps multiple for staples. EBITDA from Cash Economics tab.</t>
  </si>
  <si>
    <t>EV / EBIT (FY2024)</t>
  </si>
  <si>
    <t>Captures D&amp;A differences vs. peers (PEP has higher capex).</t>
  </si>
  <si>
    <t>P/E — Reported (FY2024)</t>
  </si>
  <si>
    <t>Trailing P/E on GAAP net income.</t>
  </si>
  <si>
    <t>P/E — Comparable EPS (FY2024)</t>
  </si>
  <si>
    <t>Uses comparable EPS of $2.88 (non-GAAP) per earnings release.</t>
  </si>
  <si>
    <t>FCF Yield (excl. IRS deposit)</t>
  </si>
  <si>
    <t>Normalized FCF / Market Cap — key for dividend sustainability.</t>
  </si>
  <si>
    <t>Dividend Yield</t>
  </si>
  <si>
    <t>Annualized dividend of $1.94/share ÷ share price.</t>
  </si>
  <si>
    <t>"Why these multiples" note:</t>
  </si>
  <si>
    <t>EV/EBITDA is the primary comp metric for consumer staples. EV/EBIT adjusts for KO's declining D&amp;A as it refranchises bottling ops.</t>
  </si>
  <si>
    <t>P/E on comparable EPS strips out one-time items (fairlife contingent consideration, BODYARMOR impairment, restructuring). FCF yield (normalized) tests whether the dividend is covered by real cash generation.</t>
  </si>
  <si>
    <t>Comparable EPS of $2.88 is a non-GAAP measure from KO's FY2024 earnings release. Annualized dividend of $1.94/share from KO's declared quarterly dividends in FY2024.</t>
  </si>
  <si>
    <t>SECTION 3: PRICE RETURN COMPARISON (not total return)</t>
  </si>
  <si>
    <t>Source</t>
  </si>
  <si>
    <t>KO Price ($)</t>
  </si>
  <si>
    <t>59.21</t>
  </si>
  <si>
    <t>58.93</t>
  </si>
  <si>
    <t>Yahoo Finance / Twelve Data historical close</t>
  </si>
  <si>
    <t>PEP Price ($)</t>
  </si>
  <si>
    <t>173.73</t>
  </si>
  <si>
    <t>169.52</t>
  </si>
  <si>
    <t>151.99</t>
  </si>
  <si>
    <t>S&amp;P 500 (SPY) Price ($)</t>
  </si>
  <si>
    <t>474.96</t>
  </si>
  <si>
    <t>473.54</t>
  </si>
  <si>
    <t>592.30</t>
  </si>
  <si>
    <t>Yahoo Finance / Twelve Data historical close (SPY ETF)</t>
  </si>
  <si>
    <t>3-Year Return</t>
  </si>
  <si>
    <t>1-Year Return</t>
  </si>
  <si>
    <t>Calculation</t>
  </si>
  <si>
    <t>KO</t>
  </si>
  <si>
    <t>Price return: (End - Start) / Start</t>
  </si>
  <si>
    <t>PEP (key competitor)</t>
  </si>
  <si>
    <t>S&amp;P 500 (SPY)</t>
  </si>
  <si>
    <t>KO vs. S&amp;P 500 (excess return)</t>
  </si>
  <si>
    <t>KO return minus S&amp;P 500 return</t>
  </si>
  <si>
    <t>KO vs. PEP (excess return)</t>
  </si>
  <si>
    <t>KO return minus PEP return</t>
  </si>
  <si>
    <t>Notes:</t>
  </si>
  <si>
    <t>Returns are price-only (exclude dividends). PEP is selected as the primary peer (global beverage/snack comps). SPY is used as the S&amp;P 500 proxy.</t>
  </si>
  <si>
    <t>All prices are adjusted closing prices from Yahoo Finance / Twelve Data. KO has significantly underperformed the S&amp;P 500 over both windows, though it outperformed PEP.</t>
  </si>
  <si>
    <t>KO 12/31/2021 price sourced from Yahoo Finance historical data. SPY 12/31/2024 close = $592.30 (adjusted close from Twelve Data monthly data shows $586.08; we use $592.30 per Yahoo Finance adjusted close for consistency with template).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</si>
</sst>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0" xfId="0" applyAlignment="1" applyFont="1" applyNumberFormat="1">
      <alignment readingOrder="0"/>
    </xf>
    <xf borderId="0" fillId="0" fontId="1" numFmtId="9" xfId="0" applyFont="1" applyNumberFormat="1"/>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4">
      <c r="A4" s="1" t="s">
        <v>2</v>
      </c>
    </row>
    <row r="5">
      <c r="B5" s="1" t="s">
        <v>3</v>
      </c>
      <c r="C5" s="1" t="s">
        <v>4</v>
      </c>
      <c r="D5" s="1" t="s">
        <v>5</v>
      </c>
      <c r="F5" s="1" t="s">
        <v>6</v>
      </c>
    </row>
    <row r="6">
      <c r="A6" s="1" t="s">
        <v>7</v>
      </c>
      <c r="B6" s="1">
        <v>43004.0</v>
      </c>
      <c r="C6" s="1">
        <v>45754.0</v>
      </c>
      <c r="D6" s="1">
        <v>47061.0</v>
      </c>
      <c r="F6" s="1" t="s">
        <v>8</v>
      </c>
    </row>
    <row r="7">
      <c r="A7" s="1" t="s">
        <v>9</v>
      </c>
      <c r="B7" s="1" t="s">
        <v>10</v>
      </c>
      <c r="C7" s="2">
        <f t="shared" ref="C7:D7" si="1">((C6-B6)/B6)</f>
        <v>0.06394753976</v>
      </c>
      <c r="D7" s="2">
        <f t="shared" si="1"/>
        <v>0.02856580845</v>
      </c>
      <c r="F7" s="1" t="s">
        <v>11</v>
      </c>
    </row>
    <row r="8">
      <c r="A8" s="1" t="s">
        <v>12</v>
      </c>
      <c r="B8" s="3">
        <v>0.16</v>
      </c>
      <c r="C8" s="3">
        <v>0.12</v>
      </c>
      <c r="D8" s="3">
        <v>0.12</v>
      </c>
      <c r="F8" s="1" t="s">
        <v>13</v>
      </c>
    </row>
    <row r="10">
      <c r="A10" s="1" t="s">
        <v>14</v>
      </c>
      <c r="B10" s="3">
        <v>0.05</v>
      </c>
      <c r="C10" s="3">
        <v>0.02</v>
      </c>
      <c r="D10" s="3">
        <v>0.01</v>
      </c>
      <c r="F10" s="1" t="s">
        <v>13</v>
      </c>
    </row>
    <row r="11">
      <c r="A11" s="1" t="s">
        <v>15</v>
      </c>
      <c r="B11" s="3">
        <v>0.04</v>
      </c>
      <c r="C11" s="3">
        <v>0.02</v>
      </c>
      <c r="D11" s="3">
        <v>0.02</v>
      </c>
      <c r="F11" s="1" t="s">
        <v>16</v>
      </c>
    </row>
    <row r="12">
      <c r="A12" s="1" t="s">
        <v>17</v>
      </c>
      <c r="B12" s="3">
        <v>0.11</v>
      </c>
      <c r="C12" s="3">
        <v>0.1</v>
      </c>
      <c r="D12" s="3">
        <v>0.11</v>
      </c>
      <c r="F12" s="1" t="s">
        <v>16</v>
      </c>
    </row>
    <row r="13">
      <c r="A13" s="1" t="s">
        <v>18</v>
      </c>
      <c r="B13" s="3">
        <v>-0.07</v>
      </c>
      <c r="C13" s="3">
        <v>-0.04</v>
      </c>
      <c r="D13" s="3">
        <v>-0.05</v>
      </c>
      <c r="F13" s="1" t="s">
        <v>16</v>
      </c>
    </row>
    <row r="14">
      <c r="A14" s="1" t="s">
        <v>19</v>
      </c>
      <c r="B14" s="3">
        <v>-0.01</v>
      </c>
      <c r="C14" s="3">
        <v>-0.01</v>
      </c>
      <c r="D14" s="3">
        <v>-0.04</v>
      </c>
      <c r="F14" s="1" t="s">
        <v>16</v>
      </c>
    </row>
    <row r="16">
      <c r="A16" s="1" t="s">
        <v>20</v>
      </c>
      <c r="B16" s="4">
        <f t="shared" ref="B16:D16" si="2">B12/B8</f>
        <v>0.6875</v>
      </c>
      <c r="C16" s="4">
        <f t="shared" si="2"/>
        <v>0.8333333333</v>
      </c>
      <c r="D16" s="4">
        <f t="shared" si="2"/>
        <v>0.9166666667</v>
      </c>
      <c r="F16" s="1" t="s">
        <v>21</v>
      </c>
    </row>
    <row r="17">
      <c r="A17" s="1" t="s">
        <v>22</v>
      </c>
      <c r="B17" s="4">
        <f t="shared" ref="B17:D17" si="3">B11/B8</f>
        <v>0.25</v>
      </c>
      <c r="C17" s="4">
        <f t="shared" si="3"/>
        <v>0.1666666667</v>
      </c>
      <c r="D17" s="4">
        <f t="shared" si="3"/>
        <v>0.1666666667</v>
      </c>
      <c r="F17" s="1" t="s">
        <v>23</v>
      </c>
    </row>
    <row r="19">
      <c r="A19" s="1" t="s">
        <v>24</v>
      </c>
    </row>
    <row r="20">
      <c r="A20" s="1" t="s">
        <v>25</v>
      </c>
    </row>
    <row r="21">
      <c r="A21" s="1" t="s">
        <v>26</v>
      </c>
    </row>
    <row r="23">
      <c r="A23" s="1" t="s">
        <v>27</v>
      </c>
    </row>
    <row r="24">
      <c r="B24" s="1" t="s">
        <v>3</v>
      </c>
      <c r="C24" s="1" t="s">
        <v>4</v>
      </c>
      <c r="D24" s="1" t="s">
        <v>5</v>
      </c>
      <c r="F24" s="1" t="s">
        <v>6</v>
      </c>
    </row>
    <row r="25">
      <c r="A25" s="1" t="s">
        <v>28</v>
      </c>
      <c r="B25" s="1">
        <v>7418.0</v>
      </c>
      <c r="C25" s="1">
        <v>7418.0</v>
      </c>
      <c r="D25" s="1">
        <v>7508.0</v>
      </c>
      <c r="F25" s="1" t="s">
        <v>29</v>
      </c>
    </row>
    <row r="26">
      <c r="A26" s="1" t="s">
        <v>30</v>
      </c>
      <c r="B26" s="1">
        <v>4675.0</v>
      </c>
      <c r="C26" s="1">
        <v>5820.0</v>
      </c>
      <c r="D26" s="1">
        <v>6434.0</v>
      </c>
      <c r="F26" s="1" t="s">
        <v>29</v>
      </c>
    </row>
    <row r="27">
      <c r="A27" s="1" t="s">
        <v>31</v>
      </c>
      <c r="B27" s="1">
        <v>15137.0</v>
      </c>
      <c r="C27" s="1">
        <v>16904.0</v>
      </c>
      <c r="D27" s="1">
        <v>18636.0</v>
      </c>
      <c r="F27" s="1" t="s">
        <v>29</v>
      </c>
    </row>
    <row r="28">
      <c r="A28" s="1" t="s">
        <v>32</v>
      </c>
      <c r="B28" s="1">
        <v>5059.0</v>
      </c>
      <c r="C28" s="1">
        <v>4708.0</v>
      </c>
      <c r="D28" s="1">
        <v>5546.0</v>
      </c>
      <c r="F28" s="1" t="s">
        <v>29</v>
      </c>
    </row>
    <row r="29">
      <c r="A29" s="1" t="s">
        <v>33</v>
      </c>
      <c r="B29" s="1">
        <v>2821.0</v>
      </c>
      <c r="C29" s="1">
        <v>3077.0</v>
      </c>
      <c r="D29" s="1">
        <v>3144.0</v>
      </c>
      <c r="F29" s="1" t="s">
        <v>29</v>
      </c>
    </row>
    <row r="30">
      <c r="A30" s="1" t="s">
        <v>34</v>
      </c>
      <c r="B30" s="1">
        <v>7973.0</v>
      </c>
      <c r="C30" s="1">
        <v>7882.0</v>
      </c>
      <c r="D30" s="1">
        <v>5906.0</v>
      </c>
      <c r="F30" s="1" t="s">
        <v>29</v>
      </c>
    </row>
    <row r="31">
      <c r="A31" s="1" t="s">
        <v>35</v>
      </c>
      <c r="B31" s="1">
        <v>-79.0</v>
      </c>
      <c r="C31" s="1">
        <v>-55.0</v>
      </c>
      <c r="D31" s="1">
        <v>-113.0</v>
      </c>
      <c r="F31" s="1" t="s">
        <v>29</v>
      </c>
    </row>
    <row r="32">
      <c r="A32" s="1" t="s">
        <v>36</v>
      </c>
      <c r="B32" s="2">
        <f t="shared" ref="B32:D32" si="4">SUM(B25:B31)</f>
        <v>43004</v>
      </c>
      <c r="C32" s="2">
        <f t="shared" si="4"/>
        <v>45754</v>
      </c>
      <c r="D32" s="2">
        <f t="shared" si="4"/>
        <v>47061</v>
      </c>
      <c r="F32" s="1" t="s">
        <v>37</v>
      </c>
    </row>
    <row r="34">
      <c r="A34" s="1" t="s">
        <v>38</v>
      </c>
      <c r="B34" s="2">
        <f t="shared" ref="B34:D34" si="5">B27/B32</f>
        <v>0.3519905125</v>
      </c>
      <c r="C34" s="2">
        <f t="shared" si="5"/>
        <v>0.3694540368</v>
      </c>
      <c r="D34" s="2">
        <f t="shared" si="5"/>
        <v>0.3959966852</v>
      </c>
      <c r="F34" s="1" t="s">
        <v>39</v>
      </c>
    </row>
    <row r="35">
      <c r="A35" s="1" t="s">
        <v>40</v>
      </c>
      <c r="B35" s="2">
        <f t="shared" ref="B35:D35" si="6">(B25+B26+B28+B29)/B32</f>
        <v>0.4644451679</v>
      </c>
      <c r="C35" s="2">
        <f t="shared" si="6"/>
        <v>0.4594789527</v>
      </c>
      <c r="D35" s="2">
        <f t="shared" si="6"/>
        <v>0.480907758</v>
      </c>
      <c r="F35" s="1" t="s">
        <v>39</v>
      </c>
    </row>
    <row r="36">
      <c r="A36" s="1" t="s">
        <v>41</v>
      </c>
      <c r="B36" s="2">
        <f t="shared" ref="B36:D36" si="7">B30/B32</f>
        <v>0.185401358</v>
      </c>
      <c r="C36" s="2">
        <f t="shared" si="7"/>
        <v>0.1722690912</v>
      </c>
      <c r="D36" s="2">
        <f t="shared" si="7"/>
        <v>0.1254966958</v>
      </c>
      <c r="F36" s="1" t="s">
        <v>39</v>
      </c>
    </row>
    <row r="39">
      <c r="A39" s="1" t="s">
        <v>42</v>
      </c>
    </row>
    <row r="40">
      <c r="B40" s="1" t="s">
        <v>3</v>
      </c>
      <c r="C40" s="1" t="s">
        <v>4</v>
      </c>
      <c r="D40" s="1" t="s">
        <v>5</v>
      </c>
      <c r="F40" s="1" t="s">
        <v>6</v>
      </c>
    </row>
    <row r="41">
      <c r="A41" s="1" t="s">
        <v>43</v>
      </c>
      <c r="B41" s="1">
        <v>21049.0</v>
      </c>
      <c r="C41" s="1">
        <v>22310.0</v>
      </c>
      <c r="D41" s="1">
        <v>24565.0</v>
      </c>
      <c r="F41" s="1" t="s">
        <v>44</v>
      </c>
    </row>
    <row r="42">
      <c r="A42" s="1" t="s">
        <v>45</v>
      </c>
      <c r="B42" s="1">
        <v>21955.0</v>
      </c>
      <c r="C42" s="1">
        <v>23444.0</v>
      </c>
      <c r="D42" s="1">
        <v>22496.0</v>
      </c>
      <c r="F42" s="1" t="s">
        <v>44</v>
      </c>
    </row>
    <row r="43">
      <c r="A43" s="1" t="s">
        <v>36</v>
      </c>
      <c r="B43" s="2">
        <f t="shared" ref="B43:D43" si="8">B41+B42</f>
        <v>43004</v>
      </c>
      <c r="C43" s="2">
        <f t="shared" si="8"/>
        <v>45754</v>
      </c>
      <c r="D43" s="2">
        <f t="shared" si="8"/>
        <v>47061</v>
      </c>
      <c r="F43" s="1" t="s">
        <v>46</v>
      </c>
    </row>
    <row r="45">
      <c r="A45" s="1" t="s">
        <v>47</v>
      </c>
      <c r="B45" s="2">
        <f t="shared" ref="B45:D45" si="9">B41/B43</f>
        <v>0.4894660962</v>
      </c>
      <c r="C45" s="2">
        <f t="shared" si="9"/>
        <v>0.4876076409</v>
      </c>
      <c r="D45" s="2">
        <f t="shared" si="9"/>
        <v>0.5219821083</v>
      </c>
      <c r="F45" s="1" t="s">
        <v>39</v>
      </c>
    </row>
    <row r="46">
      <c r="A46" s="1" t="s">
        <v>48</v>
      </c>
      <c r="B46" s="2">
        <f t="shared" ref="B46:D46" si="10">B42/B43</f>
        <v>0.5105339038</v>
      </c>
      <c r="C46" s="2">
        <f t="shared" si="10"/>
        <v>0.5123923591</v>
      </c>
      <c r="D46" s="2">
        <f t="shared" si="10"/>
        <v>0.4780178917</v>
      </c>
      <c r="F46" s="1" t="s">
        <v>39</v>
      </c>
    </row>
    <row r="48">
      <c r="A48" s="1" t="s">
        <v>49</v>
      </c>
    </row>
    <row r="49">
      <c r="A49" s="1" t="s">
        <v>50</v>
      </c>
    </row>
    <row r="50">
      <c r="A50" s="1" t="s">
        <v>51</v>
      </c>
    </row>
    <row r="51">
      <c r="A51" s="1" t="s">
        <v>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53</v>
      </c>
    </row>
    <row r="2">
      <c r="A2" s="1" t="s">
        <v>1</v>
      </c>
    </row>
    <row r="4">
      <c r="A4" s="1" t="s">
        <v>54</v>
      </c>
    </row>
    <row r="5">
      <c r="B5" s="1" t="s">
        <v>3</v>
      </c>
      <c r="C5" s="1" t="s">
        <v>4</v>
      </c>
      <c r="D5" s="1" t="s">
        <v>5</v>
      </c>
      <c r="F5" s="1" t="s">
        <v>6</v>
      </c>
    </row>
    <row r="6">
      <c r="A6" s="1" t="s">
        <v>55</v>
      </c>
      <c r="B6" s="1">
        <v>9542.0</v>
      </c>
      <c r="C6" s="1">
        <v>10714.0</v>
      </c>
      <c r="D6" s="1">
        <v>10631.0</v>
      </c>
      <c r="F6" s="1" t="s">
        <v>8</v>
      </c>
    </row>
    <row r="7">
      <c r="A7" s="1" t="s">
        <v>56</v>
      </c>
      <c r="B7" s="1">
        <v>1260.0</v>
      </c>
      <c r="C7" s="1">
        <v>1128.0</v>
      </c>
      <c r="D7" s="1">
        <v>1075.0</v>
      </c>
      <c r="F7" s="1" t="s">
        <v>57</v>
      </c>
    </row>
    <row r="8">
      <c r="A8" s="1" t="s">
        <v>58</v>
      </c>
      <c r="B8" s="2">
        <f t="shared" ref="B8:D8" si="1">B16+B7</f>
        <v>13601</v>
      </c>
      <c r="C8" s="2">
        <f t="shared" si="1"/>
        <v>12439</v>
      </c>
      <c r="D8" s="2">
        <f t="shared" si="1"/>
        <v>11067</v>
      </c>
      <c r="F8" s="1" t="s">
        <v>59</v>
      </c>
    </row>
    <row r="10">
      <c r="A10" s="1" t="s">
        <v>60</v>
      </c>
      <c r="B10" s="1">
        <v>11018.0</v>
      </c>
      <c r="C10" s="1">
        <v>11599.0</v>
      </c>
      <c r="D10" s="1">
        <v>6805.0</v>
      </c>
      <c r="F10" s="1" t="s">
        <v>57</v>
      </c>
    </row>
    <row r="11">
      <c r="A11" s="1" t="s">
        <v>61</v>
      </c>
      <c r="B11" s="1">
        <v>1484.0</v>
      </c>
      <c r="C11" s="1">
        <v>1852.0</v>
      </c>
      <c r="D11" s="1">
        <v>2064.0</v>
      </c>
      <c r="F11" s="1" t="s">
        <v>57</v>
      </c>
    </row>
    <row r="12">
      <c r="A12" s="1" t="s">
        <v>62</v>
      </c>
      <c r="B12" s="2">
        <f t="shared" ref="B12:D12" si="2">B10-B11</f>
        <v>9534</v>
      </c>
      <c r="C12" s="2">
        <f t="shared" si="2"/>
        <v>9747</v>
      </c>
      <c r="D12" s="2">
        <f t="shared" si="2"/>
        <v>4741</v>
      </c>
      <c r="F12" s="1" t="s">
        <v>39</v>
      </c>
    </row>
    <row r="13">
      <c r="A13" s="1" t="s">
        <v>63</v>
      </c>
      <c r="B13" s="1">
        <v>0.0</v>
      </c>
      <c r="C13" s="1">
        <v>0.0</v>
      </c>
      <c r="D13" s="1">
        <v>6000.0</v>
      </c>
      <c r="F13" s="1" t="s">
        <v>64</v>
      </c>
    </row>
    <row r="14">
      <c r="A14" s="1" t="s">
        <v>65</v>
      </c>
      <c r="B14" s="2">
        <f t="shared" ref="B14:D14" si="3">B12+B13</f>
        <v>9534</v>
      </c>
      <c r="C14" s="2">
        <f t="shared" si="3"/>
        <v>9747</v>
      </c>
      <c r="D14" s="2">
        <f t="shared" si="3"/>
        <v>10741</v>
      </c>
      <c r="F14" s="1" t="s">
        <v>66</v>
      </c>
    </row>
    <row r="16">
      <c r="A16" s="1" t="s">
        <v>67</v>
      </c>
      <c r="B16" s="1">
        <v>12341.0</v>
      </c>
      <c r="C16" s="1">
        <v>11311.0</v>
      </c>
      <c r="D16" s="1">
        <v>9992.0</v>
      </c>
      <c r="F16" s="1" t="s">
        <v>8</v>
      </c>
    </row>
    <row r="17">
      <c r="A17" s="1" t="s">
        <v>68</v>
      </c>
      <c r="B17" s="2">
        <f t="shared" ref="B17:D17" si="4">B16+B7</f>
        <v>13601</v>
      </c>
      <c r="C17" s="2">
        <f t="shared" si="4"/>
        <v>12439</v>
      </c>
      <c r="D17" s="2">
        <f t="shared" si="4"/>
        <v>11067</v>
      </c>
      <c r="F17" s="1" t="s">
        <v>59</v>
      </c>
    </row>
    <row r="19">
      <c r="A19" s="1" t="s">
        <v>69</v>
      </c>
    </row>
    <row r="20">
      <c r="B20" s="1" t="s">
        <v>3</v>
      </c>
      <c r="C20" s="1" t="s">
        <v>4</v>
      </c>
      <c r="D20" s="1" t="s">
        <v>5</v>
      </c>
      <c r="F20" s="1" t="s">
        <v>6</v>
      </c>
    </row>
    <row r="21">
      <c r="A21" s="1" t="s">
        <v>70</v>
      </c>
      <c r="B21" s="2">
        <f t="shared" ref="B21:D21" si="5">B12/B6</f>
        <v>0.9991616013</v>
      </c>
      <c r="C21" s="2">
        <f t="shared" si="5"/>
        <v>0.9097442598</v>
      </c>
      <c r="D21" s="2">
        <f t="shared" si="5"/>
        <v>0.4459599285</v>
      </c>
      <c r="F21" s="1" t="s">
        <v>39</v>
      </c>
    </row>
    <row r="22">
      <c r="A22" s="1" t="s">
        <v>71</v>
      </c>
      <c r="B22" s="2">
        <f t="shared" ref="B22:D22" si="6">B14/B6</f>
        <v>0.9991616013</v>
      </c>
      <c r="C22" s="2">
        <f t="shared" si="6"/>
        <v>0.9097442598</v>
      </c>
      <c r="D22" s="2">
        <f t="shared" si="6"/>
        <v>1.010347098</v>
      </c>
      <c r="F22" s="1" t="s">
        <v>72</v>
      </c>
    </row>
    <row r="23">
      <c r="A23" s="1" t="s">
        <v>73</v>
      </c>
      <c r="B23" s="2">
        <f t="shared" ref="B23:D23" si="7">B10/B17</f>
        <v>0.8100874936</v>
      </c>
      <c r="C23" s="2">
        <f t="shared" si="7"/>
        <v>0.9324704558</v>
      </c>
      <c r="D23" s="2">
        <f t="shared" si="7"/>
        <v>0.6148911177</v>
      </c>
      <c r="F23" s="1" t="s">
        <v>39</v>
      </c>
    </row>
    <row r="25">
      <c r="A25" s="1" t="s">
        <v>74</v>
      </c>
      <c r="B25" s="2">
        <f t="shared" ref="B25:D25" si="8">B11/B28</f>
        <v>0.03450841782</v>
      </c>
      <c r="C25" s="2">
        <f t="shared" si="8"/>
        <v>0.04047733531</v>
      </c>
      <c r="D25" s="2">
        <f t="shared" si="8"/>
        <v>0.04385797157</v>
      </c>
      <c r="F25" s="1" t="s">
        <v>75</v>
      </c>
    </row>
    <row r="26">
      <c r="A26" s="1" t="s">
        <v>76</v>
      </c>
      <c r="B26" s="2">
        <f t="shared" ref="B26:D26" si="9">B11/B7</f>
        <v>1.177777778</v>
      </c>
      <c r="C26" s="2">
        <f t="shared" si="9"/>
        <v>1.641843972</v>
      </c>
      <c r="D26" s="2">
        <f t="shared" si="9"/>
        <v>1.92</v>
      </c>
      <c r="F26" s="1" t="s">
        <v>77</v>
      </c>
    </row>
    <row r="28">
      <c r="A28" s="1" t="s">
        <v>78</v>
      </c>
      <c r="B28" s="2">
        <f>'Revenue Quality'!B6</f>
        <v>43004</v>
      </c>
      <c r="C28" s="2">
        <f>'Revenue Quality'!C6</f>
        <v>45754</v>
      </c>
      <c r="D28" s="2">
        <f>'Revenue Quality'!D6</f>
        <v>47061</v>
      </c>
      <c r="F28" s="1" t="s">
        <v>79</v>
      </c>
    </row>
    <row r="30">
      <c r="A30" s="1" t="s">
        <v>80</v>
      </c>
    </row>
    <row r="31">
      <c r="B31" s="1" t="s">
        <v>3</v>
      </c>
      <c r="C31" s="1" t="s">
        <v>4</v>
      </c>
      <c r="D31" s="1" t="s">
        <v>5</v>
      </c>
      <c r="F31" s="1" t="s">
        <v>6</v>
      </c>
    </row>
    <row r="32">
      <c r="A32" s="1" t="s">
        <v>81</v>
      </c>
      <c r="B32" s="1">
        <v>7616.0</v>
      </c>
      <c r="C32" s="1">
        <v>8018.0</v>
      </c>
      <c r="D32" s="1">
        <v>8366.0</v>
      </c>
      <c r="F32" s="1" t="s">
        <v>57</v>
      </c>
    </row>
    <row r="33">
      <c r="A33" s="1" t="s">
        <v>82</v>
      </c>
      <c r="B33" s="1">
        <v>1418.0</v>
      </c>
      <c r="C33" s="1">
        <v>2289.0</v>
      </c>
      <c r="D33" s="1">
        <v>1795.0</v>
      </c>
      <c r="F33" s="1" t="s">
        <v>57</v>
      </c>
    </row>
    <row r="34">
      <c r="A34" s="1" t="s">
        <v>83</v>
      </c>
      <c r="B34" s="2">
        <f t="shared" ref="B34:D34" si="10">B32+B33</f>
        <v>9034</v>
      </c>
      <c r="C34" s="2">
        <f t="shared" si="10"/>
        <v>10307</v>
      </c>
      <c r="D34" s="2">
        <f t="shared" si="10"/>
        <v>10161</v>
      </c>
      <c r="F34" s="1" t="s">
        <v>46</v>
      </c>
    </row>
    <row r="35">
      <c r="A35" s="1" t="s">
        <v>61</v>
      </c>
      <c r="B35" s="1">
        <v>1484.0</v>
      </c>
      <c r="C35" s="1">
        <v>1852.0</v>
      </c>
      <c r="D35" s="1">
        <v>2064.0</v>
      </c>
      <c r="F35" s="1" t="s">
        <v>57</v>
      </c>
    </row>
    <row r="36">
      <c r="A36" s="1" t="s">
        <v>84</v>
      </c>
      <c r="B36" s="1">
        <v>107.0</v>
      </c>
      <c r="C36" s="1">
        <v>4766.0</v>
      </c>
      <c r="D36" s="1">
        <v>48.0</v>
      </c>
      <c r="F36" s="1" t="s">
        <v>57</v>
      </c>
    </row>
    <row r="37">
      <c r="A37" s="1" t="s">
        <v>85</v>
      </c>
      <c r="B37" s="2">
        <f t="shared" ref="B37:D37" si="11">B35+B36</f>
        <v>1591</v>
      </c>
      <c r="C37" s="2">
        <f t="shared" si="11"/>
        <v>6618</v>
      </c>
      <c r="D37" s="2">
        <f t="shared" si="11"/>
        <v>2112</v>
      </c>
      <c r="F37" s="1" t="s">
        <v>46</v>
      </c>
    </row>
    <row r="39">
      <c r="A39" s="1" t="s">
        <v>86</v>
      </c>
      <c r="B39" s="2">
        <f t="shared" ref="B39:D39" si="12">B34/B10</f>
        <v>0.819931022</v>
      </c>
      <c r="C39" s="2">
        <f t="shared" si="12"/>
        <v>0.8886110872</v>
      </c>
      <c r="D39" s="2">
        <f t="shared" si="12"/>
        <v>1.493166789</v>
      </c>
      <c r="F39" s="1" t="s">
        <v>39</v>
      </c>
    </row>
    <row r="40">
      <c r="A40" s="1" t="s">
        <v>87</v>
      </c>
      <c r="B40" s="2">
        <f t="shared" ref="B40:D40" si="13">B34/B14</f>
        <v>0.947556115</v>
      </c>
      <c r="C40" s="2">
        <f t="shared" si="13"/>
        <v>1.057453575</v>
      </c>
      <c r="D40" s="2">
        <f t="shared" si="13"/>
        <v>0.9460013034</v>
      </c>
      <c r="F40" s="1" t="s">
        <v>39</v>
      </c>
    </row>
    <row r="41">
      <c r="A41" s="1" t="s">
        <v>88</v>
      </c>
      <c r="B41" s="2">
        <f t="shared" ref="B41:D41" si="14">B32/B6</f>
        <v>0.798155523</v>
      </c>
      <c r="C41" s="2">
        <f t="shared" si="14"/>
        <v>0.7483666231</v>
      </c>
      <c r="D41" s="2">
        <f t="shared" si="14"/>
        <v>0.7869438435</v>
      </c>
      <c r="F41" s="1" t="s">
        <v>39</v>
      </c>
    </row>
    <row r="43">
      <c r="A43" s="1" t="s">
        <v>89</v>
      </c>
    </row>
    <row r="44">
      <c r="B44" s="1" t="s">
        <v>3</v>
      </c>
      <c r="C44" s="1" t="s">
        <v>4</v>
      </c>
      <c r="D44" s="1" t="s">
        <v>5</v>
      </c>
      <c r="F44" s="1" t="s">
        <v>6</v>
      </c>
    </row>
    <row r="45">
      <c r="A45" s="1" t="s">
        <v>90</v>
      </c>
      <c r="B45" s="1">
        <v>3487.0</v>
      </c>
      <c r="C45" s="1">
        <v>3410.0</v>
      </c>
      <c r="D45" s="1">
        <v>3680.0</v>
      </c>
      <c r="F45" s="1" t="s">
        <v>91</v>
      </c>
    </row>
    <row r="46">
      <c r="A46" s="1" t="s">
        <v>92</v>
      </c>
      <c r="B46" s="1">
        <v>4233.0</v>
      </c>
      <c r="C46" s="1">
        <v>3878.0</v>
      </c>
      <c r="D46" s="1">
        <v>3844.0</v>
      </c>
      <c r="F46" s="1" t="s">
        <v>91</v>
      </c>
    </row>
    <row r="47">
      <c r="A47" s="1" t="s">
        <v>93</v>
      </c>
      <c r="B47" s="1">
        <v>7955.0</v>
      </c>
      <c r="C47" s="1">
        <v>7526.0</v>
      </c>
      <c r="D47" s="1">
        <v>7710.0</v>
      </c>
      <c r="F47" s="1" t="s">
        <v>94</v>
      </c>
    </row>
    <row r="48">
      <c r="A48" s="1" t="s">
        <v>95</v>
      </c>
      <c r="B48" s="1">
        <v>18000.0</v>
      </c>
      <c r="C48" s="1">
        <v>18520.0</v>
      </c>
      <c r="D48" s="1">
        <v>18324.0</v>
      </c>
      <c r="F48" s="1" t="s">
        <v>8</v>
      </c>
    </row>
    <row r="49">
      <c r="A49" s="1" t="s">
        <v>96</v>
      </c>
      <c r="B49" s="1">
        <v>43004.0</v>
      </c>
      <c r="C49" s="1">
        <v>45754.0</v>
      </c>
      <c r="D49" s="1">
        <v>47061.0</v>
      </c>
      <c r="F49" s="1" t="s">
        <v>8</v>
      </c>
    </row>
    <row r="51">
      <c r="A51" s="1" t="s">
        <v>97</v>
      </c>
      <c r="B51" s="2">
        <f t="shared" ref="B51:D51" si="15">B45/B49*365</f>
        <v>29.59620035</v>
      </c>
      <c r="C51" s="2">
        <f t="shared" si="15"/>
        <v>27.20308607</v>
      </c>
      <c r="D51" s="2">
        <f t="shared" si="15"/>
        <v>28.54167995</v>
      </c>
      <c r="F51" s="1" t="s">
        <v>98</v>
      </c>
    </row>
    <row r="52">
      <c r="A52" s="1" t="s">
        <v>99</v>
      </c>
      <c r="B52" s="2">
        <f t="shared" ref="B52:D52" si="16">B46/B48*365</f>
        <v>85.83583333</v>
      </c>
      <c r="C52" s="2">
        <f t="shared" si="16"/>
        <v>76.42926566</v>
      </c>
      <c r="D52" s="2">
        <f t="shared" si="16"/>
        <v>76.5695263</v>
      </c>
      <c r="F52" s="1" t="s">
        <v>100</v>
      </c>
    </row>
    <row r="53">
      <c r="A53" s="1" t="s">
        <v>101</v>
      </c>
      <c r="B53" s="2">
        <f t="shared" ref="B53:D53" si="17">B47/B48*365</f>
        <v>161.3097222</v>
      </c>
      <c r="C53" s="2">
        <f t="shared" si="17"/>
        <v>148.325594</v>
      </c>
      <c r="D53" s="2">
        <f t="shared" si="17"/>
        <v>153.5772757</v>
      </c>
      <c r="F53" s="1" t="s">
        <v>102</v>
      </c>
    </row>
    <row r="54">
      <c r="A54" s="1" t="s">
        <v>103</v>
      </c>
      <c r="B54" s="2">
        <f t="shared" ref="B54:D54" si="18">B51+B52-B53</f>
        <v>-45.87768854</v>
      </c>
      <c r="C54" s="2">
        <f t="shared" si="18"/>
        <v>-44.69324222</v>
      </c>
      <c r="D54" s="2">
        <f t="shared" si="18"/>
        <v>-48.46606945</v>
      </c>
      <c r="F54" s="1" t="s">
        <v>104</v>
      </c>
    </row>
    <row r="56">
      <c r="A56" s="1" t="s">
        <v>105</v>
      </c>
    </row>
    <row r="57">
      <c r="A57" s="1" t="s">
        <v>106</v>
      </c>
    </row>
    <row r="58">
      <c r="A58" s="1" t="s">
        <v>107</v>
      </c>
    </row>
    <row r="59">
      <c r="A59" s="1" t="s">
        <v>108</v>
      </c>
    </row>
    <row r="60">
      <c r="A60" s="1" t="s">
        <v>109</v>
      </c>
    </row>
    <row r="61">
      <c r="A61" s="1" t="s">
        <v>110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111</v>
      </c>
    </row>
    <row r="2">
      <c r="A2" s="1" t="s">
        <v>112</v>
      </c>
    </row>
    <row r="4">
      <c r="A4" s="1" t="s">
        <v>113</v>
      </c>
    </row>
    <row r="5">
      <c r="B5" s="1" t="s">
        <v>114</v>
      </c>
      <c r="D5" s="1" t="s">
        <v>6</v>
      </c>
    </row>
    <row r="6">
      <c r="A6" s="1" t="s">
        <v>115</v>
      </c>
      <c r="B6" s="5" t="s">
        <v>116</v>
      </c>
      <c r="D6" s="1" t="s">
        <v>117</v>
      </c>
    </row>
    <row r="7">
      <c r="A7" s="1" t="s">
        <v>118</v>
      </c>
      <c r="B7" s="1">
        <v>4320.0</v>
      </c>
      <c r="D7" s="1" t="s">
        <v>119</v>
      </c>
    </row>
    <row r="8">
      <c r="A8" s="1" t="s">
        <v>120</v>
      </c>
      <c r="B8" s="2">
        <f>B6*B7</f>
        <v>268574.4</v>
      </c>
      <c r="D8" s="1" t="s">
        <v>121</v>
      </c>
    </row>
    <row r="10">
      <c r="A10" s="1" t="s">
        <v>122</v>
      </c>
      <c r="B10" s="1">
        <v>42064.0</v>
      </c>
      <c r="D10" s="1" t="s">
        <v>123</v>
      </c>
    </row>
    <row r="11">
      <c r="A11" s="1" t="s">
        <v>124</v>
      </c>
      <c r="B11" s="1">
        <v>1539.0</v>
      </c>
      <c r="D11" s="1" t="s">
        <v>125</v>
      </c>
    </row>
    <row r="12">
      <c r="A12" s="1" t="s">
        <v>126</v>
      </c>
      <c r="B12" s="1">
        <v>10828.0</v>
      </c>
      <c r="D12" s="1" t="s">
        <v>127</v>
      </c>
    </row>
    <row r="13">
      <c r="A13" s="1" t="s">
        <v>128</v>
      </c>
      <c r="B13" s="1">
        <v>3304.0</v>
      </c>
      <c r="D13" s="1" t="s">
        <v>129</v>
      </c>
    </row>
    <row r="14">
      <c r="A14" s="1" t="s">
        <v>130</v>
      </c>
      <c r="B14" s="2">
        <f>B8+B10+B11-B12-B13</f>
        <v>298045.4</v>
      </c>
      <c r="D14" s="1" t="s">
        <v>131</v>
      </c>
    </row>
    <row r="16">
      <c r="A16" s="1" t="s">
        <v>132</v>
      </c>
    </row>
    <row r="17">
      <c r="A17" s="1" t="s">
        <v>133</v>
      </c>
    </row>
    <row r="18">
      <c r="A18" s="1" t="s">
        <v>134</v>
      </c>
    </row>
    <row r="21">
      <c r="A21" s="1" t="s">
        <v>135</v>
      </c>
    </row>
    <row r="22">
      <c r="A22" s="1" t="s">
        <v>136</v>
      </c>
      <c r="B22" s="1" t="s">
        <v>114</v>
      </c>
      <c r="D22" s="1" t="s">
        <v>137</v>
      </c>
    </row>
    <row r="23">
      <c r="A23" s="1" t="s">
        <v>138</v>
      </c>
      <c r="B23" s="2">
        <f>B14/'Cash Economics'!D17</f>
        <v>26.93100208</v>
      </c>
      <c r="D23" s="1" t="s">
        <v>139</v>
      </c>
    </row>
    <row r="24">
      <c r="A24" s="1" t="s">
        <v>140</v>
      </c>
      <c r="B24" s="2">
        <f>B14/'Cash Economics'!D16</f>
        <v>29.82840272</v>
      </c>
      <c r="D24" s="1" t="s">
        <v>141</v>
      </c>
    </row>
    <row r="25">
      <c r="A25" s="1" t="s">
        <v>142</v>
      </c>
      <c r="B25" s="2">
        <f>B8/'Cash Economics'!D6</f>
        <v>25.26332424</v>
      </c>
      <c r="D25" s="1" t="s">
        <v>143</v>
      </c>
    </row>
    <row r="26">
      <c r="A26" s="1" t="s">
        <v>144</v>
      </c>
      <c r="B26" s="2">
        <f>B6/2.88</f>
        <v>21.58680556</v>
      </c>
      <c r="D26" s="1" t="s">
        <v>145</v>
      </c>
    </row>
    <row r="27">
      <c r="A27" s="1" t="s">
        <v>146</v>
      </c>
      <c r="B27" s="2">
        <f>'Cash Economics'!D14/B8</f>
        <v>0.03999264263</v>
      </c>
      <c r="D27" s="1" t="s">
        <v>147</v>
      </c>
    </row>
    <row r="28">
      <c r="A28" s="1" t="s">
        <v>148</v>
      </c>
      <c r="B28" s="2">
        <f>1.94/B6</f>
        <v>0.03120476114</v>
      </c>
      <c r="D28" s="1" t="s">
        <v>149</v>
      </c>
    </row>
    <row r="30">
      <c r="A30" s="1" t="s">
        <v>150</v>
      </c>
    </row>
    <row r="31">
      <c r="A31" s="1" t="s">
        <v>151</v>
      </c>
    </row>
    <row r="32">
      <c r="A32" s="1" t="s">
        <v>152</v>
      </c>
    </row>
    <row r="33">
      <c r="A33" s="1" t="s">
        <v>153</v>
      </c>
    </row>
    <row r="35">
      <c r="A35" s="1" t="s">
        <v>154</v>
      </c>
    </row>
    <row r="36">
      <c r="B36" s="6">
        <v>44561.0</v>
      </c>
      <c r="C36" s="6">
        <v>45291.0</v>
      </c>
      <c r="D36" s="6">
        <v>45657.0</v>
      </c>
      <c r="E36" s="1" t="s">
        <v>155</v>
      </c>
    </row>
    <row r="37">
      <c r="A37" s="1" t="s">
        <v>156</v>
      </c>
      <c r="B37" s="5" t="s">
        <v>157</v>
      </c>
      <c r="C37" s="5" t="s">
        <v>158</v>
      </c>
      <c r="D37" s="5" t="s">
        <v>116</v>
      </c>
      <c r="E37" s="1" t="s">
        <v>159</v>
      </c>
    </row>
    <row r="38">
      <c r="A38" s="1" t="s">
        <v>160</v>
      </c>
      <c r="B38" s="5" t="s">
        <v>161</v>
      </c>
      <c r="C38" s="5" t="s">
        <v>162</v>
      </c>
      <c r="D38" s="5" t="s">
        <v>163</v>
      </c>
      <c r="E38" s="1" t="s">
        <v>159</v>
      </c>
    </row>
    <row r="39">
      <c r="A39" s="1" t="s">
        <v>164</v>
      </c>
      <c r="B39" s="5" t="s">
        <v>165</v>
      </c>
      <c r="C39" s="5" t="s">
        <v>166</v>
      </c>
      <c r="D39" s="5" t="s">
        <v>167</v>
      </c>
      <c r="E39" s="1" t="s">
        <v>168</v>
      </c>
    </row>
    <row r="41">
      <c r="B41" s="1" t="s">
        <v>169</v>
      </c>
      <c r="C41" s="1" t="s">
        <v>170</v>
      </c>
      <c r="E41" s="1" t="s">
        <v>171</v>
      </c>
    </row>
    <row r="42">
      <c r="A42" s="1" t="s">
        <v>172</v>
      </c>
      <c r="B42" s="2">
        <f t="shared" ref="B42:B44" si="1">(D37-B37)/B37</f>
        <v>0.04999155548</v>
      </c>
      <c r="C42" s="2">
        <f t="shared" ref="C42:C44" si="2">(D37-C37)/C37</f>
        <v>0.05498048532</v>
      </c>
      <c r="E42" s="1" t="s">
        <v>173</v>
      </c>
    </row>
    <row r="43">
      <c r="A43" s="1" t="s">
        <v>174</v>
      </c>
      <c r="B43" s="2">
        <f t="shared" si="1"/>
        <v>-0.1251367064</v>
      </c>
      <c r="C43" s="2">
        <f t="shared" si="2"/>
        <v>-0.1034096272</v>
      </c>
      <c r="E43" s="1" t="s">
        <v>173</v>
      </c>
    </row>
    <row r="44">
      <c r="A44" s="1" t="s">
        <v>175</v>
      </c>
      <c r="B44" s="2">
        <f t="shared" si="1"/>
        <v>0.2470523834</v>
      </c>
      <c r="C44" s="2">
        <f t="shared" si="2"/>
        <v>0.2507919078</v>
      </c>
      <c r="E44" s="1" t="s">
        <v>173</v>
      </c>
    </row>
    <row r="46">
      <c r="A46" s="1" t="s">
        <v>176</v>
      </c>
      <c r="B46" s="2">
        <f t="shared" ref="B46:C46" si="3">B42-B44</f>
        <v>-0.1970608279</v>
      </c>
      <c r="C46" s="2">
        <f t="shared" si="3"/>
        <v>-0.1958114224</v>
      </c>
      <c r="E46" s="1" t="s">
        <v>177</v>
      </c>
    </row>
    <row r="47">
      <c r="A47" s="1" t="s">
        <v>178</v>
      </c>
      <c r="B47" s="2">
        <f t="shared" ref="B47:C47" si="4">B42-B43</f>
        <v>0.1751282619</v>
      </c>
      <c r="C47" s="2">
        <f t="shared" si="4"/>
        <v>0.1583901125</v>
      </c>
      <c r="E47" s="1" t="s">
        <v>179</v>
      </c>
    </row>
    <row r="49">
      <c r="A49" s="1" t="s">
        <v>180</v>
      </c>
    </row>
    <row r="50">
      <c r="A50" s="1" t="s">
        <v>181</v>
      </c>
    </row>
    <row r="51">
      <c r="A51" s="1" t="s">
        <v>182</v>
      </c>
    </row>
    <row r="52">
      <c r="A52" s="1" t="s">
        <v>183</v>
      </c>
    </row>
  </sheetData>
  <drawing r:id="rId1"/>
</worksheet>
</file>